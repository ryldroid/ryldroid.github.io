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Meryl\Desktop\"/>
    </mc:Choice>
  </mc:AlternateContent>
  <xr:revisionPtr revIDLastSave="0" documentId="13_ncr:1_{A20EA503-671C-47B6-8BBD-C1DBB4E7EE05}" xr6:coauthVersionLast="47" xr6:coauthVersionMax="47" xr10:uidLastSave="{00000000-0000-0000-0000-000000000000}"/>
  <bookViews>
    <workbookView xWindow="-108" yWindow="-108" windowWidth="23256" windowHeight="12456" firstSheet="2" activeTab="3" xr2:uid="{00000000-000D-0000-FFFF-FFFF00000000}"/>
  </bookViews>
  <sheets>
    <sheet name="Requirements1" sheetId="1" state="hidden" r:id="rId1"/>
    <sheet name="Original data" sheetId="3" state="hidden" r:id="rId2"/>
    <sheet name="Dashboard" sheetId="11" r:id="rId3"/>
    <sheet name="Pivot Tables" sheetId="10" r:id="rId4"/>
    <sheet name="Data" sheetId="4" r:id="rId5"/>
    <sheet name="Data backup" sheetId="7" state="hidden" r:id="rId6"/>
  </sheets>
  <definedNames>
    <definedName name="_xlnm._FilterDatabase" localSheetId="4" hidden="1">Data!$B$3:$L$173</definedName>
    <definedName name="_xlnm._FilterDatabase" localSheetId="5" hidden="1">'Data backup'!$A$1:$G$171</definedName>
    <definedName name="_xlnm._FilterDatabase" localSheetId="1" hidden="1">'Original data'!$A$1:$G$171</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71" i="7" l="1"/>
  <c r="M171" i="7"/>
  <c r="L171" i="7"/>
  <c r="K171" i="7"/>
  <c r="J171" i="7"/>
  <c r="I171" i="7"/>
  <c r="H171" i="7"/>
  <c r="N170" i="7"/>
  <c r="M170" i="7"/>
  <c r="L170" i="7"/>
  <c r="K170" i="7"/>
  <c r="J170" i="7"/>
  <c r="I170" i="7"/>
  <c r="H170" i="7"/>
  <c r="N169" i="7"/>
  <c r="M169" i="7"/>
  <c r="L169" i="7"/>
  <c r="K169" i="7"/>
  <c r="J169" i="7"/>
  <c r="I169" i="7"/>
  <c r="H169" i="7"/>
  <c r="N168" i="7"/>
  <c r="M168" i="7"/>
  <c r="L168" i="7"/>
  <c r="K168" i="7"/>
  <c r="J168" i="7"/>
  <c r="I168" i="7"/>
  <c r="H168" i="7"/>
  <c r="N167" i="7"/>
  <c r="M167" i="7"/>
  <c r="L167" i="7"/>
  <c r="K167" i="7"/>
  <c r="J167" i="7"/>
  <c r="I167" i="7"/>
  <c r="H167" i="7"/>
  <c r="N166" i="7"/>
  <c r="M166" i="7"/>
  <c r="L166" i="7"/>
  <c r="K166" i="7"/>
  <c r="J166" i="7"/>
  <c r="I166" i="7"/>
  <c r="H166" i="7"/>
  <c r="N165" i="7"/>
  <c r="M165" i="7"/>
  <c r="L165" i="7"/>
  <c r="K165" i="7"/>
  <c r="J165" i="7"/>
  <c r="I165" i="7"/>
  <c r="H165" i="7"/>
  <c r="N164" i="7"/>
  <c r="M164" i="7"/>
  <c r="L164" i="7"/>
  <c r="K164" i="7"/>
  <c r="J164" i="7"/>
  <c r="I164" i="7"/>
  <c r="H164" i="7"/>
  <c r="N163" i="7"/>
  <c r="M163" i="7"/>
  <c r="L163" i="7"/>
  <c r="K163" i="7"/>
  <c r="J163" i="7"/>
  <c r="I163" i="7"/>
  <c r="H163" i="7"/>
  <c r="N162" i="7"/>
  <c r="M162" i="7"/>
  <c r="L162" i="7"/>
  <c r="K162" i="7"/>
  <c r="J162" i="7"/>
  <c r="I162" i="7"/>
  <c r="H162" i="7"/>
  <c r="N161" i="7"/>
  <c r="M161" i="7"/>
  <c r="L161" i="7"/>
  <c r="K161" i="7"/>
  <c r="J161" i="7"/>
  <c r="I161" i="7"/>
  <c r="H161" i="7"/>
  <c r="N160" i="7"/>
  <c r="M160" i="7"/>
  <c r="L160" i="7"/>
  <c r="K160" i="7"/>
  <c r="J160" i="7"/>
  <c r="I160" i="7"/>
  <c r="H160" i="7"/>
  <c r="N159" i="7"/>
  <c r="M159" i="7"/>
  <c r="L159" i="7"/>
  <c r="K159" i="7"/>
  <c r="J159" i="7"/>
  <c r="I159" i="7"/>
  <c r="H159" i="7"/>
  <c r="N158" i="7"/>
  <c r="M158" i="7"/>
  <c r="L158" i="7"/>
  <c r="K158" i="7"/>
  <c r="J158" i="7"/>
  <c r="I158" i="7"/>
  <c r="H158" i="7"/>
  <c r="N157" i="7"/>
  <c r="M157" i="7"/>
  <c r="L157" i="7"/>
  <c r="K157" i="7"/>
  <c r="J157" i="7"/>
  <c r="I157" i="7"/>
  <c r="H157" i="7"/>
  <c r="N156" i="7"/>
  <c r="M156" i="7"/>
  <c r="L156" i="7"/>
  <c r="K156" i="7"/>
  <c r="J156" i="7"/>
  <c r="I156" i="7"/>
  <c r="H156" i="7"/>
  <c r="N155" i="7"/>
  <c r="M155" i="7"/>
  <c r="L155" i="7"/>
  <c r="K155" i="7"/>
  <c r="J155" i="7"/>
  <c r="I155" i="7"/>
  <c r="H155" i="7"/>
  <c r="N154" i="7"/>
  <c r="M154" i="7"/>
  <c r="L154" i="7"/>
  <c r="K154" i="7"/>
  <c r="J154" i="7"/>
  <c r="I154" i="7"/>
  <c r="H154" i="7"/>
  <c r="N153" i="7"/>
  <c r="M153" i="7"/>
  <c r="L153" i="7"/>
  <c r="K153" i="7"/>
  <c r="J153" i="7"/>
  <c r="I153" i="7"/>
  <c r="H153" i="7"/>
  <c r="N152" i="7"/>
  <c r="M152" i="7"/>
  <c r="L152" i="7"/>
  <c r="K152" i="7"/>
  <c r="J152" i="7"/>
  <c r="I152" i="7"/>
  <c r="H152" i="7"/>
  <c r="N151" i="7"/>
  <c r="M151" i="7"/>
  <c r="L151" i="7"/>
  <c r="K151" i="7"/>
  <c r="J151" i="7"/>
  <c r="I151" i="7"/>
  <c r="H151" i="7"/>
  <c r="N150" i="7"/>
  <c r="M150" i="7"/>
  <c r="L150" i="7"/>
  <c r="K150" i="7"/>
  <c r="J150" i="7"/>
  <c r="I150" i="7"/>
  <c r="H150" i="7"/>
  <c r="N149" i="7"/>
  <c r="M149" i="7"/>
  <c r="L149" i="7"/>
  <c r="K149" i="7"/>
  <c r="J149" i="7"/>
  <c r="I149" i="7"/>
  <c r="H149" i="7"/>
  <c r="N148" i="7"/>
  <c r="M148" i="7"/>
  <c r="L148" i="7"/>
  <c r="K148" i="7"/>
  <c r="J148" i="7"/>
  <c r="I148" i="7"/>
  <c r="H148" i="7"/>
  <c r="N147" i="7"/>
  <c r="M147" i="7"/>
  <c r="L147" i="7"/>
  <c r="K147" i="7"/>
  <c r="J147" i="7"/>
  <c r="I147" i="7"/>
  <c r="H147" i="7"/>
  <c r="N146" i="7"/>
  <c r="M146" i="7"/>
  <c r="L146" i="7"/>
  <c r="K146" i="7"/>
  <c r="J146" i="7"/>
  <c r="I146" i="7"/>
  <c r="H146" i="7"/>
  <c r="N145" i="7"/>
  <c r="M145" i="7"/>
  <c r="L145" i="7"/>
  <c r="K145" i="7"/>
  <c r="J145" i="7"/>
  <c r="I145" i="7"/>
  <c r="H145" i="7"/>
  <c r="N144" i="7"/>
  <c r="M144" i="7"/>
  <c r="L144" i="7"/>
  <c r="K144" i="7"/>
  <c r="J144" i="7"/>
  <c r="I144" i="7"/>
  <c r="H144" i="7"/>
  <c r="N143" i="7"/>
  <c r="M143" i="7"/>
  <c r="L143" i="7"/>
  <c r="K143" i="7"/>
  <c r="J143" i="7"/>
  <c r="I143" i="7"/>
  <c r="H143" i="7"/>
  <c r="N142" i="7"/>
  <c r="M142" i="7"/>
  <c r="L142" i="7"/>
  <c r="K142" i="7"/>
  <c r="J142" i="7"/>
  <c r="I142" i="7"/>
  <c r="H142" i="7"/>
  <c r="N141" i="7"/>
  <c r="M141" i="7"/>
  <c r="L141" i="7"/>
  <c r="K141" i="7"/>
  <c r="J141" i="7"/>
  <c r="I141" i="7"/>
  <c r="H141" i="7"/>
  <c r="N140" i="7"/>
  <c r="M140" i="7"/>
  <c r="L140" i="7"/>
  <c r="K140" i="7"/>
  <c r="J140" i="7"/>
  <c r="I140" i="7"/>
  <c r="H140" i="7"/>
  <c r="N139" i="7"/>
  <c r="M139" i="7"/>
  <c r="L139" i="7"/>
  <c r="K139" i="7"/>
  <c r="J139" i="7"/>
  <c r="I139" i="7"/>
  <c r="H139" i="7"/>
  <c r="N138" i="7"/>
  <c r="M138" i="7"/>
  <c r="L138" i="7"/>
  <c r="K138" i="7"/>
  <c r="J138" i="7"/>
  <c r="I138" i="7"/>
  <c r="H138" i="7"/>
  <c r="N137" i="7"/>
  <c r="M137" i="7"/>
  <c r="L137" i="7"/>
  <c r="K137" i="7"/>
  <c r="J137" i="7"/>
  <c r="I137" i="7"/>
  <c r="H137" i="7"/>
  <c r="N136" i="7"/>
  <c r="M136" i="7"/>
  <c r="L136" i="7"/>
  <c r="K136" i="7"/>
  <c r="J136" i="7"/>
  <c r="I136" i="7"/>
  <c r="H136" i="7"/>
  <c r="N135" i="7"/>
  <c r="M135" i="7"/>
  <c r="L135" i="7"/>
  <c r="K135" i="7"/>
  <c r="J135" i="7"/>
  <c r="I135" i="7"/>
  <c r="H135" i="7"/>
  <c r="N134" i="7"/>
  <c r="M134" i="7"/>
  <c r="L134" i="7"/>
  <c r="K134" i="7"/>
  <c r="J134" i="7"/>
  <c r="I134" i="7"/>
  <c r="H134" i="7"/>
  <c r="N133" i="7"/>
  <c r="M133" i="7"/>
  <c r="L133" i="7"/>
  <c r="K133" i="7"/>
  <c r="J133" i="7"/>
  <c r="I133" i="7"/>
  <c r="H133" i="7"/>
  <c r="N132" i="7"/>
  <c r="M132" i="7"/>
  <c r="L132" i="7"/>
  <c r="K132" i="7"/>
  <c r="J132" i="7"/>
  <c r="I132" i="7"/>
  <c r="H132" i="7"/>
  <c r="N131" i="7"/>
  <c r="M131" i="7"/>
  <c r="L131" i="7"/>
  <c r="K131" i="7"/>
  <c r="J131" i="7"/>
  <c r="I131" i="7"/>
  <c r="H131" i="7"/>
  <c r="N130" i="7"/>
  <c r="M130" i="7"/>
  <c r="L130" i="7"/>
  <c r="K130" i="7"/>
  <c r="J130" i="7"/>
  <c r="I130" i="7"/>
  <c r="H130" i="7"/>
  <c r="N129" i="7"/>
  <c r="M129" i="7"/>
  <c r="L129" i="7"/>
  <c r="K129" i="7"/>
  <c r="J129" i="7"/>
  <c r="I129" i="7"/>
  <c r="H129" i="7"/>
  <c r="N128" i="7"/>
  <c r="M128" i="7"/>
  <c r="L128" i="7"/>
  <c r="K128" i="7"/>
  <c r="J128" i="7"/>
  <c r="I128" i="7"/>
  <c r="H128" i="7"/>
  <c r="N127" i="7"/>
  <c r="M127" i="7"/>
  <c r="L127" i="7"/>
  <c r="K127" i="7"/>
  <c r="J127" i="7"/>
  <c r="I127" i="7"/>
  <c r="H127" i="7"/>
  <c r="N126" i="7"/>
  <c r="M126" i="7"/>
  <c r="L126" i="7"/>
  <c r="K126" i="7"/>
  <c r="J126" i="7"/>
  <c r="I126" i="7"/>
  <c r="H126" i="7"/>
  <c r="N125" i="7"/>
  <c r="M125" i="7"/>
  <c r="L125" i="7"/>
  <c r="K125" i="7"/>
  <c r="J125" i="7"/>
  <c r="I125" i="7"/>
  <c r="H125" i="7"/>
  <c r="N124" i="7"/>
  <c r="M124" i="7"/>
  <c r="L124" i="7"/>
  <c r="K124" i="7"/>
  <c r="J124" i="7"/>
  <c r="I124" i="7"/>
  <c r="H124" i="7"/>
  <c r="N123" i="7"/>
  <c r="M123" i="7"/>
  <c r="L123" i="7"/>
  <c r="K123" i="7"/>
  <c r="J123" i="7"/>
  <c r="I123" i="7"/>
  <c r="H123" i="7"/>
  <c r="N122" i="7"/>
  <c r="M122" i="7"/>
  <c r="L122" i="7"/>
  <c r="K122" i="7"/>
  <c r="J122" i="7"/>
  <c r="I122" i="7"/>
  <c r="H122" i="7"/>
  <c r="N121" i="7"/>
  <c r="M121" i="7"/>
  <c r="L121" i="7"/>
  <c r="K121" i="7"/>
  <c r="J121" i="7"/>
  <c r="I121" i="7"/>
  <c r="H121" i="7"/>
  <c r="N120" i="7"/>
  <c r="M120" i="7"/>
  <c r="L120" i="7"/>
  <c r="K120" i="7"/>
  <c r="J120" i="7"/>
  <c r="I120" i="7"/>
  <c r="H120" i="7"/>
  <c r="N119" i="7"/>
  <c r="M119" i="7"/>
  <c r="L119" i="7"/>
  <c r="K119" i="7"/>
  <c r="J119" i="7"/>
  <c r="I119" i="7"/>
  <c r="H119" i="7"/>
  <c r="N118" i="7"/>
  <c r="M118" i="7"/>
  <c r="L118" i="7"/>
  <c r="K118" i="7"/>
  <c r="J118" i="7"/>
  <c r="I118" i="7"/>
  <c r="H118" i="7"/>
  <c r="N117" i="7"/>
  <c r="M117" i="7"/>
  <c r="L117" i="7"/>
  <c r="K117" i="7"/>
  <c r="J117" i="7"/>
  <c r="I117" i="7"/>
  <c r="H117" i="7"/>
  <c r="N116" i="7"/>
  <c r="M116" i="7"/>
  <c r="L116" i="7"/>
  <c r="K116" i="7"/>
  <c r="J116" i="7"/>
  <c r="I116" i="7"/>
  <c r="H116" i="7"/>
  <c r="N115" i="7"/>
  <c r="M115" i="7"/>
  <c r="L115" i="7"/>
  <c r="K115" i="7"/>
  <c r="J115" i="7"/>
  <c r="I115" i="7"/>
  <c r="H115" i="7"/>
  <c r="N114" i="7"/>
  <c r="M114" i="7"/>
  <c r="L114" i="7"/>
  <c r="K114" i="7"/>
  <c r="J114" i="7"/>
  <c r="I114" i="7"/>
  <c r="H114" i="7"/>
  <c r="N113" i="7"/>
  <c r="M113" i="7"/>
  <c r="L113" i="7"/>
  <c r="K113" i="7"/>
  <c r="J113" i="7"/>
  <c r="I113" i="7"/>
  <c r="H113" i="7"/>
  <c r="N112" i="7"/>
  <c r="M112" i="7"/>
  <c r="L112" i="7"/>
  <c r="K112" i="7"/>
  <c r="J112" i="7"/>
  <c r="I112" i="7"/>
  <c r="H112" i="7"/>
  <c r="N111" i="7"/>
  <c r="M111" i="7"/>
  <c r="L111" i="7"/>
  <c r="K111" i="7"/>
  <c r="J111" i="7"/>
  <c r="I111" i="7"/>
  <c r="H111" i="7"/>
  <c r="N110" i="7"/>
  <c r="M110" i="7"/>
  <c r="L110" i="7"/>
  <c r="K110" i="7"/>
  <c r="J110" i="7"/>
  <c r="I110" i="7"/>
  <c r="H110" i="7"/>
  <c r="N109" i="7"/>
  <c r="M109" i="7"/>
  <c r="L109" i="7"/>
  <c r="K109" i="7"/>
  <c r="J109" i="7"/>
  <c r="I109" i="7"/>
  <c r="H109" i="7"/>
  <c r="N108" i="7"/>
  <c r="M108" i="7"/>
  <c r="L108" i="7"/>
  <c r="K108" i="7"/>
  <c r="J108" i="7"/>
  <c r="I108" i="7"/>
  <c r="H108" i="7"/>
  <c r="N107" i="7"/>
  <c r="M107" i="7"/>
  <c r="L107" i="7"/>
  <c r="K107" i="7"/>
  <c r="J107" i="7"/>
  <c r="I107" i="7"/>
  <c r="H107" i="7"/>
  <c r="N106" i="7"/>
  <c r="M106" i="7"/>
  <c r="L106" i="7"/>
  <c r="K106" i="7"/>
  <c r="J106" i="7"/>
  <c r="I106" i="7"/>
  <c r="H106" i="7"/>
  <c r="N105" i="7"/>
  <c r="M105" i="7"/>
  <c r="L105" i="7"/>
  <c r="K105" i="7"/>
  <c r="J105" i="7"/>
  <c r="I105" i="7"/>
  <c r="H105" i="7"/>
  <c r="N104" i="7"/>
  <c r="M104" i="7"/>
  <c r="L104" i="7"/>
  <c r="K104" i="7"/>
  <c r="J104" i="7"/>
  <c r="I104" i="7"/>
  <c r="H104" i="7"/>
  <c r="N103" i="7"/>
  <c r="M103" i="7"/>
  <c r="L103" i="7"/>
  <c r="K103" i="7"/>
  <c r="J103" i="7"/>
  <c r="I103" i="7"/>
  <c r="H103" i="7"/>
  <c r="N102" i="7"/>
  <c r="M102" i="7"/>
  <c r="L102" i="7"/>
  <c r="K102" i="7"/>
  <c r="J102" i="7"/>
  <c r="I102" i="7"/>
  <c r="H102" i="7"/>
  <c r="N101" i="7"/>
  <c r="M101" i="7"/>
  <c r="L101" i="7"/>
  <c r="K101" i="7"/>
  <c r="J101" i="7"/>
  <c r="I101" i="7"/>
  <c r="H101" i="7"/>
  <c r="N100" i="7"/>
  <c r="M100" i="7"/>
  <c r="L100" i="7"/>
  <c r="K100" i="7"/>
  <c r="J100" i="7"/>
  <c r="I100" i="7"/>
  <c r="H100" i="7"/>
  <c r="N99" i="7"/>
  <c r="M99" i="7"/>
  <c r="L99" i="7"/>
  <c r="K99" i="7"/>
  <c r="J99" i="7"/>
  <c r="I99" i="7"/>
  <c r="H99" i="7"/>
  <c r="N98" i="7"/>
  <c r="M98" i="7"/>
  <c r="L98" i="7"/>
  <c r="K98" i="7"/>
  <c r="J98" i="7"/>
  <c r="I98" i="7"/>
  <c r="H98" i="7"/>
  <c r="N97" i="7"/>
  <c r="M97" i="7"/>
  <c r="L97" i="7"/>
  <c r="K97" i="7"/>
  <c r="J97" i="7"/>
  <c r="I97" i="7"/>
  <c r="H97" i="7"/>
  <c r="N96" i="7"/>
  <c r="M96" i="7"/>
  <c r="L96" i="7"/>
  <c r="K96" i="7"/>
  <c r="J96" i="7"/>
  <c r="I96" i="7"/>
  <c r="H96" i="7"/>
  <c r="N95" i="7"/>
  <c r="M95" i="7"/>
  <c r="L95" i="7"/>
  <c r="K95" i="7"/>
  <c r="J95" i="7"/>
  <c r="I95" i="7"/>
  <c r="H95" i="7"/>
  <c r="N94" i="7"/>
  <c r="M94" i="7"/>
  <c r="L94" i="7"/>
  <c r="K94" i="7"/>
  <c r="J94" i="7"/>
  <c r="I94" i="7"/>
  <c r="H94" i="7"/>
  <c r="N93" i="7"/>
  <c r="M93" i="7"/>
  <c r="L93" i="7"/>
  <c r="K93" i="7"/>
  <c r="J93" i="7"/>
  <c r="I93" i="7"/>
  <c r="H93" i="7"/>
  <c r="N92" i="7"/>
  <c r="M92" i="7"/>
  <c r="L92" i="7"/>
  <c r="K92" i="7"/>
  <c r="J92" i="7"/>
  <c r="I92" i="7"/>
  <c r="H92" i="7"/>
  <c r="N91" i="7"/>
  <c r="M91" i="7"/>
  <c r="L91" i="7"/>
  <c r="K91" i="7"/>
  <c r="J91" i="7"/>
  <c r="I91" i="7"/>
  <c r="H91" i="7"/>
  <c r="N90" i="7"/>
  <c r="M90" i="7"/>
  <c r="L90" i="7"/>
  <c r="K90" i="7"/>
  <c r="J90" i="7"/>
  <c r="I90" i="7"/>
  <c r="H90" i="7"/>
  <c r="N89" i="7"/>
  <c r="M89" i="7"/>
  <c r="L89" i="7"/>
  <c r="K89" i="7"/>
  <c r="J89" i="7"/>
  <c r="I89" i="7"/>
  <c r="H89" i="7"/>
  <c r="N88" i="7"/>
  <c r="M88" i="7"/>
  <c r="L88" i="7"/>
  <c r="K88" i="7"/>
  <c r="J88" i="7"/>
  <c r="I88" i="7"/>
  <c r="H88" i="7"/>
  <c r="N87" i="7"/>
  <c r="M87" i="7"/>
  <c r="L87" i="7"/>
  <c r="K87" i="7"/>
  <c r="J87" i="7"/>
  <c r="I87" i="7"/>
  <c r="H87" i="7"/>
  <c r="N86" i="7"/>
  <c r="M86" i="7"/>
  <c r="L86" i="7"/>
  <c r="K86" i="7"/>
  <c r="J86" i="7"/>
  <c r="I86" i="7"/>
  <c r="H86" i="7"/>
  <c r="N85" i="7"/>
  <c r="M85" i="7"/>
  <c r="L85" i="7"/>
  <c r="K85" i="7"/>
  <c r="J85" i="7"/>
  <c r="I85" i="7"/>
  <c r="H85" i="7"/>
  <c r="N84" i="7"/>
  <c r="M84" i="7"/>
  <c r="L84" i="7"/>
  <c r="K84" i="7"/>
  <c r="J84" i="7"/>
  <c r="I84" i="7"/>
  <c r="H84" i="7"/>
  <c r="N83" i="7"/>
  <c r="M83" i="7"/>
  <c r="L83" i="7"/>
  <c r="K83" i="7"/>
  <c r="J83" i="7"/>
  <c r="I83" i="7"/>
  <c r="H83" i="7"/>
  <c r="N82" i="7"/>
  <c r="M82" i="7"/>
  <c r="L82" i="7"/>
  <c r="K82" i="7"/>
  <c r="J82" i="7"/>
  <c r="I82" i="7"/>
  <c r="H82" i="7"/>
  <c r="N81" i="7"/>
  <c r="M81" i="7"/>
  <c r="L81" i="7"/>
  <c r="K81" i="7"/>
  <c r="J81" i="7"/>
  <c r="I81" i="7"/>
  <c r="H81" i="7"/>
  <c r="N80" i="7"/>
  <c r="M80" i="7"/>
  <c r="L80" i="7"/>
  <c r="K80" i="7"/>
  <c r="J80" i="7"/>
  <c r="I80" i="7"/>
  <c r="H80" i="7"/>
  <c r="N79" i="7"/>
  <c r="M79" i="7"/>
  <c r="L79" i="7"/>
  <c r="K79" i="7"/>
  <c r="J79" i="7"/>
  <c r="I79" i="7"/>
  <c r="H79" i="7"/>
  <c r="N78" i="7"/>
  <c r="M78" i="7"/>
  <c r="L78" i="7"/>
  <c r="K78" i="7"/>
  <c r="J78" i="7"/>
  <c r="I78" i="7"/>
  <c r="H78" i="7"/>
  <c r="N77" i="7"/>
  <c r="M77" i="7"/>
  <c r="L77" i="7"/>
  <c r="K77" i="7"/>
  <c r="J77" i="7"/>
  <c r="I77" i="7"/>
  <c r="H77" i="7"/>
  <c r="N76" i="7"/>
  <c r="M76" i="7"/>
  <c r="L76" i="7"/>
  <c r="K76" i="7"/>
  <c r="J76" i="7"/>
  <c r="I76" i="7"/>
  <c r="H76" i="7"/>
  <c r="N75" i="7"/>
  <c r="M75" i="7"/>
  <c r="L75" i="7"/>
  <c r="K75" i="7"/>
  <c r="J75" i="7"/>
  <c r="I75" i="7"/>
  <c r="H75" i="7"/>
  <c r="N74" i="7"/>
  <c r="M74" i="7"/>
  <c r="L74" i="7"/>
  <c r="K74" i="7"/>
  <c r="J74" i="7"/>
  <c r="I74" i="7"/>
  <c r="H74" i="7"/>
  <c r="N73" i="7"/>
  <c r="M73" i="7"/>
  <c r="L73" i="7"/>
  <c r="K73" i="7"/>
  <c r="J73" i="7"/>
  <c r="I73" i="7"/>
  <c r="H73" i="7"/>
  <c r="N72" i="7"/>
  <c r="M72" i="7"/>
  <c r="L72" i="7"/>
  <c r="K72" i="7"/>
  <c r="J72" i="7"/>
  <c r="I72" i="7"/>
  <c r="H72" i="7"/>
  <c r="N71" i="7"/>
  <c r="M71" i="7"/>
  <c r="L71" i="7"/>
  <c r="K71" i="7"/>
  <c r="J71" i="7"/>
  <c r="I71" i="7"/>
  <c r="H71" i="7"/>
  <c r="N70" i="7"/>
  <c r="M70" i="7"/>
  <c r="L70" i="7"/>
  <c r="K70" i="7"/>
  <c r="J70" i="7"/>
  <c r="I70" i="7"/>
  <c r="H70" i="7"/>
  <c r="N69" i="7"/>
  <c r="M69" i="7"/>
  <c r="L69" i="7"/>
  <c r="K69" i="7"/>
  <c r="J69" i="7"/>
  <c r="I69" i="7"/>
  <c r="H69" i="7"/>
  <c r="N68" i="7"/>
  <c r="M68" i="7"/>
  <c r="L68" i="7"/>
  <c r="K68" i="7"/>
  <c r="J68" i="7"/>
  <c r="I68" i="7"/>
  <c r="H68" i="7"/>
  <c r="N67" i="7"/>
  <c r="M67" i="7"/>
  <c r="L67" i="7"/>
  <c r="K67" i="7"/>
  <c r="J67" i="7"/>
  <c r="I67" i="7"/>
  <c r="H67" i="7"/>
  <c r="N66" i="7"/>
  <c r="M66" i="7"/>
  <c r="L66" i="7"/>
  <c r="K66" i="7"/>
  <c r="J66" i="7"/>
  <c r="I66" i="7"/>
  <c r="H66" i="7"/>
  <c r="N65" i="7"/>
  <c r="M65" i="7"/>
  <c r="L65" i="7"/>
  <c r="K65" i="7"/>
  <c r="J65" i="7"/>
  <c r="I65" i="7"/>
  <c r="H65" i="7"/>
  <c r="N64" i="7"/>
  <c r="M64" i="7"/>
  <c r="L64" i="7"/>
  <c r="K64" i="7"/>
  <c r="J64" i="7"/>
  <c r="I64" i="7"/>
  <c r="H64" i="7"/>
  <c r="N63" i="7"/>
  <c r="M63" i="7"/>
  <c r="L63" i="7"/>
  <c r="K63" i="7"/>
  <c r="J63" i="7"/>
  <c r="I63" i="7"/>
  <c r="H63" i="7"/>
  <c r="N62" i="7"/>
  <c r="M62" i="7"/>
  <c r="L62" i="7"/>
  <c r="K62" i="7"/>
  <c r="J62" i="7"/>
  <c r="I62" i="7"/>
  <c r="H62" i="7"/>
  <c r="N61" i="7"/>
  <c r="M61" i="7"/>
  <c r="L61" i="7"/>
  <c r="K61" i="7"/>
  <c r="J61" i="7"/>
  <c r="I61" i="7"/>
  <c r="H61" i="7"/>
  <c r="N60" i="7"/>
  <c r="M60" i="7"/>
  <c r="L60" i="7"/>
  <c r="K60" i="7"/>
  <c r="J60" i="7"/>
  <c r="I60" i="7"/>
  <c r="H60" i="7"/>
  <c r="N59" i="7"/>
  <c r="M59" i="7"/>
  <c r="L59" i="7"/>
  <c r="K59" i="7"/>
  <c r="J59" i="7"/>
  <c r="I59" i="7"/>
  <c r="H59" i="7"/>
  <c r="N58" i="7"/>
  <c r="M58" i="7"/>
  <c r="L58" i="7"/>
  <c r="K58" i="7"/>
  <c r="J58" i="7"/>
  <c r="I58" i="7"/>
  <c r="H58" i="7"/>
  <c r="N57" i="7"/>
  <c r="M57" i="7"/>
  <c r="L57" i="7"/>
  <c r="K57" i="7"/>
  <c r="J57" i="7"/>
  <c r="I57" i="7"/>
  <c r="H57" i="7"/>
  <c r="N56" i="7"/>
  <c r="M56" i="7"/>
  <c r="L56" i="7"/>
  <c r="K56" i="7"/>
  <c r="J56" i="7"/>
  <c r="I56" i="7"/>
  <c r="H56" i="7"/>
  <c r="N55" i="7"/>
  <c r="M55" i="7"/>
  <c r="L55" i="7"/>
  <c r="K55" i="7"/>
  <c r="J55" i="7"/>
  <c r="I55" i="7"/>
  <c r="H55" i="7"/>
  <c r="N54" i="7"/>
  <c r="M54" i="7"/>
  <c r="L54" i="7"/>
  <c r="K54" i="7"/>
  <c r="J54" i="7"/>
  <c r="I54" i="7"/>
  <c r="H54" i="7"/>
  <c r="N53" i="7"/>
  <c r="M53" i="7"/>
  <c r="L53" i="7"/>
  <c r="K53" i="7"/>
  <c r="J53" i="7"/>
  <c r="I53" i="7"/>
  <c r="H53" i="7"/>
  <c r="N52" i="7"/>
  <c r="M52" i="7"/>
  <c r="L52" i="7"/>
  <c r="K52" i="7"/>
  <c r="J52" i="7"/>
  <c r="I52" i="7"/>
  <c r="H52" i="7"/>
  <c r="N51" i="7"/>
  <c r="M51" i="7"/>
  <c r="L51" i="7"/>
  <c r="K51" i="7"/>
  <c r="J51" i="7"/>
  <c r="I51" i="7"/>
  <c r="H51" i="7"/>
  <c r="N50" i="7"/>
  <c r="M50" i="7"/>
  <c r="L50" i="7"/>
  <c r="K50" i="7"/>
  <c r="J50" i="7"/>
  <c r="I50" i="7"/>
  <c r="H50" i="7"/>
  <c r="N49" i="7"/>
  <c r="M49" i="7"/>
  <c r="L49" i="7"/>
  <c r="K49" i="7"/>
  <c r="J49" i="7"/>
  <c r="I49" i="7"/>
  <c r="H49" i="7"/>
  <c r="N48" i="7"/>
  <c r="M48" i="7"/>
  <c r="L48" i="7"/>
  <c r="K48" i="7"/>
  <c r="J48" i="7"/>
  <c r="I48" i="7"/>
  <c r="H48" i="7"/>
  <c r="N47" i="7"/>
  <c r="M47" i="7"/>
  <c r="L47" i="7"/>
  <c r="K47" i="7"/>
  <c r="J47" i="7"/>
  <c r="I47" i="7"/>
  <c r="H47" i="7"/>
  <c r="N46" i="7"/>
  <c r="M46" i="7"/>
  <c r="L46" i="7"/>
  <c r="K46" i="7"/>
  <c r="J46" i="7"/>
  <c r="I46" i="7"/>
  <c r="H46" i="7"/>
  <c r="N45" i="7"/>
  <c r="M45" i="7"/>
  <c r="L45" i="7"/>
  <c r="K45" i="7"/>
  <c r="J45" i="7"/>
  <c r="I45" i="7"/>
  <c r="H45" i="7"/>
  <c r="N44" i="7"/>
  <c r="M44" i="7"/>
  <c r="L44" i="7"/>
  <c r="K44" i="7"/>
  <c r="J44" i="7"/>
  <c r="I44" i="7"/>
  <c r="H44" i="7"/>
  <c r="N43" i="7"/>
  <c r="M43" i="7"/>
  <c r="L43" i="7"/>
  <c r="K43" i="7"/>
  <c r="J43" i="7"/>
  <c r="I43" i="7"/>
  <c r="H43" i="7"/>
  <c r="N42" i="7"/>
  <c r="M42" i="7"/>
  <c r="L42" i="7"/>
  <c r="K42" i="7"/>
  <c r="J42" i="7"/>
  <c r="I42" i="7"/>
  <c r="H42" i="7"/>
  <c r="N41" i="7"/>
  <c r="M41" i="7"/>
  <c r="L41" i="7"/>
  <c r="K41" i="7"/>
  <c r="J41" i="7"/>
  <c r="I41" i="7"/>
  <c r="H41" i="7"/>
  <c r="N40" i="7"/>
  <c r="M40" i="7"/>
  <c r="L40" i="7"/>
  <c r="K40" i="7"/>
  <c r="J40" i="7"/>
  <c r="I40" i="7"/>
  <c r="H40" i="7"/>
  <c r="N39" i="7"/>
  <c r="M39" i="7"/>
  <c r="L39" i="7"/>
  <c r="K39" i="7"/>
  <c r="J39" i="7"/>
  <c r="I39" i="7"/>
  <c r="H39" i="7"/>
  <c r="N38" i="7"/>
  <c r="M38" i="7"/>
  <c r="L38" i="7"/>
  <c r="K38" i="7"/>
  <c r="J38" i="7"/>
  <c r="I38" i="7"/>
  <c r="H38" i="7"/>
  <c r="N37" i="7"/>
  <c r="M37" i="7"/>
  <c r="L37" i="7"/>
  <c r="K37" i="7"/>
  <c r="J37" i="7"/>
  <c r="I37" i="7"/>
  <c r="H37" i="7"/>
  <c r="N36" i="7"/>
  <c r="M36" i="7"/>
  <c r="L36" i="7"/>
  <c r="K36" i="7"/>
  <c r="J36" i="7"/>
  <c r="I36" i="7"/>
  <c r="H36" i="7"/>
  <c r="N35" i="7"/>
  <c r="M35" i="7"/>
  <c r="L35" i="7"/>
  <c r="K35" i="7"/>
  <c r="J35" i="7"/>
  <c r="I35" i="7"/>
  <c r="H35" i="7"/>
  <c r="N34" i="7"/>
  <c r="M34" i="7"/>
  <c r="L34" i="7"/>
  <c r="K34" i="7"/>
  <c r="J34" i="7"/>
  <c r="I34" i="7"/>
  <c r="H34" i="7"/>
  <c r="N33" i="7"/>
  <c r="M33" i="7"/>
  <c r="L33" i="7"/>
  <c r="K33" i="7"/>
  <c r="J33" i="7"/>
  <c r="I33" i="7"/>
  <c r="H33" i="7"/>
  <c r="N32" i="7"/>
  <c r="M32" i="7"/>
  <c r="L32" i="7"/>
  <c r="K32" i="7"/>
  <c r="J32" i="7"/>
  <c r="I32" i="7"/>
  <c r="H32" i="7"/>
  <c r="N31" i="7"/>
  <c r="M31" i="7"/>
  <c r="L31" i="7"/>
  <c r="K31" i="7"/>
  <c r="J31" i="7"/>
  <c r="I31" i="7"/>
  <c r="H31" i="7"/>
  <c r="N30" i="7"/>
  <c r="M30" i="7"/>
  <c r="L30" i="7"/>
  <c r="K30" i="7"/>
  <c r="J30" i="7"/>
  <c r="I30" i="7"/>
  <c r="H30" i="7"/>
  <c r="N29" i="7"/>
  <c r="M29" i="7"/>
  <c r="L29" i="7"/>
  <c r="K29" i="7"/>
  <c r="J29" i="7"/>
  <c r="I29" i="7"/>
  <c r="H29" i="7"/>
  <c r="N28" i="7"/>
  <c r="M28" i="7"/>
  <c r="L28" i="7"/>
  <c r="K28" i="7"/>
  <c r="J28" i="7"/>
  <c r="I28" i="7"/>
  <c r="H28" i="7"/>
  <c r="N27" i="7"/>
  <c r="M27" i="7"/>
  <c r="L27" i="7"/>
  <c r="K27" i="7"/>
  <c r="J27" i="7"/>
  <c r="I27" i="7"/>
  <c r="H27" i="7"/>
  <c r="N26" i="7"/>
  <c r="M26" i="7"/>
  <c r="L26" i="7"/>
  <c r="K26" i="7"/>
  <c r="J26" i="7"/>
  <c r="I26" i="7"/>
  <c r="H26" i="7"/>
  <c r="N25" i="7"/>
  <c r="M25" i="7"/>
  <c r="L25" i="7"/>
  <c r="K25" i="7"/>
  <c r="J25" i="7"/>
  <c r="I25" i="7"/>
  <c r="H25" i="7"/>
  <c r="N24" i="7"/>
  <c r="M24" i="7"/>
  <c r="L24" i="7"/>
  <c r="K24" i="7"/>
  <c r="J24" i="7"/>
  <c r="I24" i="7"/>
  <c r="H24" i="7"/>
  <c r="N23" i="7"/>
  <c r="M23" i="7"/>
  <c r="L23" i="7"/>
  <c r="K23" i="7"/>
  <c r="J23" i="7"/>
  <c r="I23" i="7"/>
  <c r="H23" i="7"/>
  <c r="N22" i="7"/>
  <c r="M22" i="7"/>
  <c r="L22" i="7"/>
  <c r="K22" i="7"/>
  <c r="J22" i="7"/>
  <c r="I22" i="7"/>
  <c r="H22" i="7"/>
  <c r="N21" i="7"/>
  <c r="M21" i="7"/>
  <c r="L21" i="7"/>
  <c r="K21" i="7"/>
  <c r="J21" i="7"/>
  <c r="I21" i="7"/>
  <c r="H21" i="7"/>
  <c r="N20" i="7"/>
  <c r="M20" i="7"/>
  <c r="L20" i="7"/>
  <c r="K20" i="7"/>
  <c r="J20" i="7"/>
  <c r="I20" i="7"/>
  <c r="H20" i="7"/>
  <c r="N19" i="7"/>
  <c r="M19" i="7"/>
  <c r="L19" i="7"/>
  <c r="K19" i="7"/>
  <c r="J19" i="7"/>
  <c r="I19" i="7"/>
  <c r="H19" i="7"/>
  <c r="N18" i="7"/>
  <c r="M18" i="7"/>
  <c r="L18" i="7"/>
  <c r="K18" i="7"/>
  <c r="J18" i="7"/>
  <c r="I18" i="7"/>
  <c r="H18" i="7"/>
  <c r="N17" i="7"/>
  <c r="M17" i="7"/>
  <c r="L17" i="7"/>
  <c r="K17" i="7"/>
  <c r="J17" i="7"/>
  <c r="I17" i="7"/>
  <c r="H17" i="7"/>
  <c r="N16" i="7"/>
  <c r="M16" i="7"/>
  <c r="L16" i="7"/>
  <c r="K16" i="7"/>
  <c r="J16" i="7"/>
  <c r="I16" i="7"/>
  <c r="H16" i="7"/>
  <c r="N15" i="7"/>
  <c r="M15" i="7"/>
  <c r="L15" i="7"/>
  <c r="K15" i="7"/>
  <c r="J15" i="7"/>
  <c r="I15" i="7"/>
  <c r="H15" i="7"/>
  <c r="N14" i="7"/>
  <c r="M14" i="7"/>
  <c r="L14" i="7"/>
  <c r="K14" i="7"/>
  <c r="J14" i="7"/>
  <c r="I14" i="7"/>
  <c r="H14" i="7"/>
  <c r="N13" i="7"/>
  <c r="M13" i="7"/>
  <c r="L13" i="7"/>
  <c r="K13" i="7"/>
  <c r="J13" i="7"/>
  <c r="I13" i="7"/>
  <c r="H13" i="7"/>
  <c r="N12" i="7"/>
  <c r="M12" i="7"/>
  <c r="L12" i="7"/>
  <c r="K12" i="7"/>
  <c r="J12" i="7"/>
  <c r="I12" i="7"/>
  <c r="H12" i="7"/>
  <c r="N11" i="7"/>
  <c r="M11" i="7"/>
  <c r="L11" i="7"/>
  <c r="K11" i="7"/>
  <c r="J11" i="7"/>
  <c r="I11" i="7"/>
  <c r="H11" i="7"/>
  <c r="N10" i="7"/>
  <c r="M10" i="7"/>
  <c r="L10" i="7"/>
  <c r="K10" i="7"/>
  <c r="J10" i="7"/>
  <c r="I10" i="7"/>
  <c r="H10" i="7"/>
  <c r="N9" i="7"/>
  <c r="M9" i="7"/>
  <c r="L9" i="7"/>
  <c r="K9" i="7"/>
  <c r="J9" i="7"/>
  <c r="I9" i="7"/>
  <c r="H9" i="7"/>
  <c r="N8" i="7"/>
  <c r="M8" i="7"/>
  <c r="L8" i="7"/>
  <c r="K8" i="7"/>
  <c r="J8" i="7"/>
  <c r="I8" i="7"/>
  <c r="H8" i="7"/>
  <c r="N7" i="7"/>
  <c r="M7" i="7"/>
  <c r="L7" i="7"/>
  <c r="K7" i="7"/>
  <c r="J7" i="7"/>
  <c r="I7" i="7"/>
  <c r="H7" i="7"/>
  <c r="N6" i="7"/>
  <c r="M6" i="7"/>
  <c r="L6" i="7"/>
  <c r="K6" i="7"/>
  <c r="J6" i="7"/>
  <c r="I6" i="7"/>
  <c r="H6" i="7"/>
  <c r="N5" i="7"/>
  <c r="M5" i="7"/>
  <c r="L5" i="7"/>
  <c r="K5" i="7"/>
  <c r="J5" i="7"/>
  <c r="I5" i="7"/>
  <c r="H5" i="7"/>
  <c r="N4" i="7"/>
  <c r="M4" i="7"/>
  <c r="L4" i="7"/>
  <c r="K4" i="7"/>
  <c r="J4" i="7"/>
  <c r="I4" i="7"/>
  <c r="H4" i="7"/>
  <c r="N3" i="7"/>
  <c r="M3" i="7"/>
  <c r="L3" i="7"/>
  <c r="K3" i="7"/>
  <c r="J3" i="7"/>
  <c r="I3" i="7"/>
  <c r="H3" i="7"/>
  <c r="N2" i="7"/>
  <c r="M2" i="7"/>
  <c r="L2" i="7"/>
  <c r="K2" i="7"/>
  <c r="J2" i="7"/>
  <c r="I2" i="7"/>
  <c r="H2" i="7"/>
  <c r="M173" i="4"/>
  <c r="N173" i="4" s="1"/>
  <c r="J173" i="4"/>
  <c r="H173" i="4"/>
  <c r="F173" i="4"/>
  <c r="M172" i="4"/>
  <c r="N172" i="4" s="1"/>
  <c r="J172" i="4"/>
  <c r="H172" i="4"/>
  <c r="F172" i="4"/>
  <c r="M171" i="4"/>
  <c r="N171" i="4" s="1"/>
  <c r="J171" i="4"/>
  <c r="H171" i="4"/>
  <c r="F171" i="4"/>
  <c r="M170" i="4"/>
  <c r="N170" i="4" s="1"/>
  <c r="J170" i="4"/>
  <c r="H170" i="4"/>
  <c r="F170" i="4"/>
  <c r="M169" i="4"/>
  <c r="N169" i="4" s="1"/>
  <c r="J169" i="4"/>
  <c r="H169" i="4"/>
  <c r="F169" i="4"/>
  <c r="M168" i="4"/>
  <c r="N168" i="4" s="1"/>
  <c r="J168" i="4"/>
  <c r="H168" i="4"/>
  <c r="F168" i="4"/>
  <c r="M167" i="4"/>
  <c r="N167" i="4" s="1"/>
  <c r="J167" i="4"/>
  <c r="H167" i="4"/>
  <c r="F167" i="4"/>
  <c r="M166" i="4"/>
  <c r="N166" i="4" s="1"/>
  <c r="J166" i="4"/>
  <c r="H166" i="4"/>
  <c r="F166" i="4"/>
  <c r="M165" i="4"/>
  <c r="N165" i="4" s="1"/>
  <c r="J165" i="4"/>
  <c r="H165" i="4"/>
  <c r="F165" i="4"/>
  <c r="M164" i="4"/>
  <c r="N164" i="4" s="1"/>
  <c r="J164" i="4"/>
  <c r="H164" i="4"/>
  <c r="F164" i="4"/>
  <c r="M163" i="4"/>
  <c r="N163" i="4" s="1"/>
  <c r="J163" i="4"/>
  <c r="H163" i="4"/>
  <c r="F163" i="4"/>
  <c r="M162" i="4"/>
  <c r="N162" i="4" s="1"/>
  <c r="J162" i="4"/>
  <c r="H162" i="4"/>
  <c r="F162" i="4"/>
  <c r="M161" i="4"/>
  <c r="N161" i="4" s="1"/>
  <c r="J161" i="4"/>
  <c r="H161" i="4"/>
  <c r="F161" i="4"/>
  <c r="M160" i="4"/>
  <c r="N160" i="4" s="1"/>
  <c r="J160" i="4"/>
  <c r="H160" i="4"/>
  <c r="K160" i="4" s="1"/>
  <c r="F160" i="4"/>
  <c r="M159" i="4"/>
  <c r="N159" i="4" s="1"/>
  <c r="J159" i="4"/>
  <c r="H159" i="4"/>
  <c r="F159" i="4"/>
  <c r="N158" i="4"/>
  <c r="M158" i="4"/>
  <c r="J158" i="4"/>
  <c r="H158" i="4"/>
  <c r="F158" i="4"/>
  <c r="M157" i="4"/>
  <c r="N157" i="4" s="1"/>
  <c r="J157" i="4"/>
  <c r="H157" i="4"/>
  <c r="F157" i="4"/>
  <c r="M156" i="4"/>
  <c r="N156" i="4" s="1"/>
  <c r="J156" i="4"/>
  <c r="H156" i="4"/>
  <c r="F156" i="4"/>
  <c r="M155" i="4"/>
  <c r="N155" i="4" s="1"/>
  <c r="J155" i="4"/>
  <c r="H155" i="4"/>
  <c r="F155" i="4"/>
  <c r="M154" i="4"/>
  <c r="N154" i="4" s="1"/>
  <c r="J154" i="4"/>
  <c r="H154" i="4"/>
  <c r="F154" i="4"/>
  <c r="M153" i="4"/>
  <c r="N153" i="4" s="1"/>
  <c r="J153" i="4"/>
  <c r="H153" i="4"/>
  <c r="F153" i="4"/>
  <c r="M152" i="4"/>
  <c r="N152" i="4" s="1"/>
  <c r="J152" i="4"/>
  <c r="H152" i="4"/>
  <c r="F152" i="4"/>
  <c r="M151" i="4"/>
  <c r="N151" i="4" s="1"/>
  <c r="J151" i="4"/>
  <c r="H151" i="4"/>
  <c r="F151" i="4"/>
  <c r="M150" i="4"/>
  <c r="N150" i="4" s="1"/>
  <c r="J150" i="4"/>
  <c r="H150" i="4"/>
  <c r="F150" i="4"/>
  <c r="M149" i="4"/>
  <c r="N149" i="4" s="1"/>
  <c r="J149" i="4"/>
  <c r="H149" i="4"/>
  <c r="F149" i="4"/>
  <c r="M148" i="4"/>
  <c r="N148" i="4" s="1"/>
  <c r="J148" i="4"/>
  <c r="H148" i="4"/>
  <c r="F148" i="4"/>
  <c r="M147" i="4"/>
  <c r="N147" i="4" s="1"/>
  <c r="J147" i="4"/>
  <c r="H147" i="4"/>
  <c r="F147" i="4"/>
  <c r="M146" i="4"/>
  <c r="N146" i="4" s="1"/>
  <c r="J146" i="4"/>
  <c r="H146" i="4"/>
  <c r="F146" i="4"/>
  <c r="M145" i="4"/>
  <c r="N145" i="4" s="1"/>
  <c r="J145" i="4"/>
  <c r="H145" i="4"/>
  <c r="F145" i="4"/>
  <c r="M144" i="4"/>
  <c r="N144" i="4" s="1"/>
  <c r="J144" i="4"/>
  <c r="H144" i="4"/>
  <c r="F144" i="4"/>
  <c r="M143" i="4"/>
  <c r="N143" i="4" s="1"/>
  <c r="J143" i="4"/>
  <c r="H143" i="4"/>
  <c r="F143" i="4"/>
  <c r="M142" i="4"/>
  <c r="N142" i="4" s="1"/>
  <c r="J142" i="4"/>
  <c r="H142" i="4"/>
  <c r="F142" i="4"/>
  <c r="M141" i="4"/>
  <c r="N141" i="4" s="1"/>
  <c r="J141" i="4"/>
  <c r="H141" i="4"/>
  <c r="F141" i="4"/>
  <c r="M140" i="4"/>
  <c r="N140" i="4" s="1"/>
  <c r="J140" i="4"/>
  <c r="H140" i="4"/>
  <c r="F140" i="4"/>
  <c r="M139" i="4"/>
  <c r="N139" i="4" s="1"/>
  <c r="J139" i="4"/>
  <c r="H139" i="4"/>
  <c r="F139" i="4"/>
  <c r="M138" i="4"/>
  <c r="N138" i="4" s="1"/>
  <c r="J138" i="4"/>
  <c r="H138" i="4"/>
  <c r="F138" i="4"/>
  <c r="M137" i="4"/>
  <c r="N137" i="4" s="1"/>
  <c r="J137" i="4"/>
  <c r="H137" i="4"/>
  <c r="F137" i="4"/>
  <c r="M136" i="4"/>
  <c r="N136" i="4" s="1"/>
  <c r="J136" i="4"/>
  <c r="H136" i="4"/>
  <c r="F136" i="4"/>
  <c r="M135" i="4"/>
  <c r="N135" i="4" s="1"/>
  <c r="J135" i="4"/>
  <c r="H135" i="4"/>
  <c r="F135" i="4"/>
  <c r="M134" i="4"/>
  <c r="N134" i="4" s="1"/>
  <c r="J134" i="4"/>
  <c r="H134" i="4"/>
  <c r="F134" i="4"/>
  <c r="M133" i="4"/>
  <c r="N133" i="4" s="1"/>
  <c r="J133" i="4"/>
  <c r="H133" i="4"/>
  <c r="F133" i="4"/>
  <c r="M132" i="4"/>
  <c r="N132" i="4" s="1"/>
  <c r="J132" i="4"/>
  <c r="H132" i="4"/>
  <c r="F132" i="4"/>
  <c r="M131" i="4"/>
  <c r="N131" i="4" s="1"/>
  <c r="J131" i="4"/>
  <c r="H131" i="4"/>
  <c r="F131" i="4"/>
  <c r="M130" i="4"/>
  <c r="N130" i="4" s="1"/>
  <c r="J130" i="4"/>
  <c r="H130" i="4"/>
  <c r="F130" i="4"/>
  <c r="M129" i="4"/>
  <c r="N129" i="4" s="1"/>
  <c r="J129" i="4"/>
  <c r="H129" i="4"/>
  <c r="F129" i="4"/>
  <c r="M128" i="4"/>
  <c r="N128" i="4" s="1"/>
  <c r="J128" i="4"/>
  <c r="H128" i="4"/>
  <c r="F128" i="4"/>
  <c r="M127" i="4"/>
  <c r="N127" i="4" s="1"/>
  <c r="J127" i="4"/>
  <c r="H127" i="4"/>
  <c r="F127" i="4"/>
  <c r="M126" i="4"/>
  <c r="N126" i="4" s="1"/>
  <c r="J126" i="4"/>
  <c r="H126" i="4"/>
  <c r="F126" i="4"/>
  <c r="M125" i="4"/>
  <c r="N125" i="4" s="1"/>
  <c r="J125" i="4"/>
  <c r="H125" i="4"/>
  <c r="F125" i="4"/>
  <c r="M124" i="4"/>
  <c r="N124" i="4" s="1"/>
  <c r="J124" i="4"/>
  <c r="H124" i="4"/>
  <c r="F124" i="4"/>
  <c r="M123" i="4"/>
  <c r="N123" i="4" s="1"/>
  <c r="J123" i="4"/>
  <c r="H123" i="4"/>
  <c r="F123" i="4"/>
  <c r="M122" i="4"/>
  <c r="N122" i="4" s="1"/>
  <c r="J122" i="4"/>
  <c r="H122" i="4"/>
  <c r="F122" i="4"/>
  <c r="M121" i="4"/>
  <c r="N121" i="4" s="1"/>
  <c r="J121" i="4"/>
  <c r="H121" i="4"/>
  <c r="F121" i="4"/>
  <c r="M120" i="4"/>
  <c r="N120" i="4" s="1"/>
  <c r="J120" i="4"/>
  <c r="H120" i="4"/>
  <c r="F120" i="4"/>
  <c r="M119" i="4"/>
  <c r="N119" i="4" s="1"/>
  <c r="J119" i="4"/>
  <c r="H119" i="4"/>
  <c r="F119" i="4"/>
  <c r="M118" i="4"/>
  <c r="N118" i="4" s="1"/>
  <c r="J118" i="4"/>
  <c r="H118" i="4"/>
  <c r="F118" i="4"/>
  <c r="M117" i="4"/>
  <c r="N117" i="4" s="1"/>
  <c r="J117" i="4"/>
  <c r="H117" i="4"/>
  <c r="F117" i="4"/>
  <c r="M116" i="4"/>
  <c r="N116" i="4" s="1"/>
  <c r="J116" i="4"/>
  <c r="H116" i="4"/>
  <c r="F116" i="4"/>
  <c r="M115" i="4"/>
  <c r="N115" i="4" s="1"/>
  <c r="J115" i="4"/>
  <c r="H115" i="4"/>
  <c r="F115" i="4"/>
  <c r="M114" i="4"/>
  <c r="N114" i="4" s="1"/>
  <c r="J114" i="4"/>
  <c r="H114" i="4"/>
  <c r="F114" i="4"/>
  <c r="M113" i="4"/>
  <c r="N113" i="4" s="1"/>
  <c r="J113" i="4"/>
  <c r="H113" i="4"/>
  <c r="F113" i="4"/>
  <c r="M112" i="4"/>
  <c r="N112" i="4" s="1"/>
  <c r="J112" i="4"/>
  <c r="H112" i="4"/>
  <c r="F112" i="4"/>
  <c r="M111" i="4"/>
  <c r="N111" i="4" s="1"/>
  <c r="J111" i="4"/>
  <c r="H111" i="4"/>
  <c r="F111" i="4"/>
  <c r="M110" i="4"/>
  <c r="N110" i="4" s="1"/>
  <c r="J110" i="4"/>
  <c r="H110" i="4"/>
  <c r="F110" i="4"/>
  <c r="M109" i="4"/>
  <c r="N109" i="4" s="1"/>
  <c r="J109" i="4"/>
  <c r="H109" i="4"/>
  <c r="F109" i="4"/>
  <c r="M108" i="4"/>
  <c r="N108" i="4" s="1"/>
  <c r="J108" i="4"/>
  <c r="H108" i="4"/>
  <c r="F108" i="4"/>
  <c r="M107" i="4"/>
  <c r="N107" i="4" s="1"/>
  <c r="J107" i="4"/>
  <c r="H107" i="4"/>
  <c r="F107" i="4"/>
  <c r="M106" i="4"/>
  <c r="N106" i="4" s="1"/>
  <c r="J106" i="4"/>
  <c r="H106" i="4"/>
  <c r="F106" i="4"/>
  <c r="M105" i="4"/>
  <c r="N105" i="4" s="1"/>
  <c r="J105" i="4"/>
  <c r="H105" i="4"/>
  <c r="F105" i="4"/>
  <c r="M104" i="4"/>
  <c r="N104" i="4" s="1"/>
  <c r="J104" i="4"/>
  <c r="H104" i="4"/>
  <c r="F104" i="4"/>
  <c r="M103" i="4"/>
  <c r="N103" i="4" s="1"/>
  <c r="J103" i="4"/>
  <c r="H103" i="4"/>
  <c r="F103" i="4"/>
  <c r="M102" i="4"/>
  <c r="N102" i="4" s="1"/>
  <c r="J102" i="4"/>
  <c r="H102" i="4"/>
  <c r="F102" i="4"/>
  <c r="M101" i="4"/>
  <c r="N101" i="4" s="1"/>
  <c r="J101" i="4"/>
  <c r="H101" i="4"/>
  <c r="F101" i="4"/>
  <c r="M100" i="4"/>
  <c r="N100" i="4" s="1"/>
  <c r="J100" i="4"/>
  <c r="H100" i="4"/>
  <c r="F100" i="4"/>
  <c r="M99" i="4"/>
  <c r="N99" i="4" s="1"/>
  <c r="J99" i="4"/>
  <c r="H99" i="4"/>
  <c r="F99" i="4"/>
  <c r="M98" i="4"/>
  <c r="N98" i="4" s="1"/>
  <c r="J98" i="4"/>
  <c r="H98" i="4"/>
  <c r="F98" i="4"/>
  <c r="M97" i="4"/>
  <c r="N97" i="4" s="1"/>
  <c r="J97" i="4"/>
  <c r="H97" i="4"/>
  <c r="F97" i="4"/>
  <c r="M96" i="4"/>
  <c r="N96" i="4" s="1"/>
  <c r="J96" i="4"/>
  <c r="H96" i="4"/>
  <c r="F96" i="4"/>
  <c r="M95" i="4"/>
  <c r="N95" i="4" s="1"/>
  <c r="J95" i="4"/>
  <c r="H95" i="4"/>
  <c r="F95" i="4"/>
  <c r="M94" i="4"/>
  <c r="N94" i="4" s="1"/>
  <c r="J94" i="4"/>
  <c r="H94" i="4"/>
  <c r="F94" i="4"/>
  <c r="M93" i="4"/>
  <c r="N93" i="4" s="1"/>
  <c r="J93" i="4"/>
  <c r="H93" i="4"/>
  <c r="F93" i="4"/>
  <c r="M92" i="4"/>
  <c r="N92" i="4" s="1"/>
  <c r="J92" i="4"/>
  <c r="H92" i="4"/>
  <c r="F92" i="4"/>
  <c r="M91" i="4"/>
  <c r="N91" i="4" s="1"/>
  <c r="J91" i="4"/>
  <c r="H91" i="4"/>
  <c r="F91" i="4"/>
  <c r="M90" i="4"/>
  <c r="N90" i="4" s="1"/>
  <c r="J90" i="4"/>
  <c r="H90" i="4"/>
  <c r="F90" i="4"/>
  <c r="M89" i="4"/>
  <c r="N89" i="4" s="1"/>
  <c r="J89" i="4"/>
  <c r="H89" i="4"/>
  <c r="F89" i="4"/>
  <c r="M88" i="4"/>
  <c r="N88" i="4" s="1"/>
  <c r="J88" i="4"/>
  <c r="H88" i="4"/>
  <c r="F88" i="4"/>
  <c r="M87" i="4"/>
  <c r="N87" i="4" s="1"/>
  <c r="J87" i="4"/>
  <c r="H87" i="4"/>
  <c r="F87" i="4"/>
  <c r="M86" i="4"/>
  <c r="N86" i="4" s="1"/>
  <c r="J86" i="4"/>
  <c r="H86" i="4"/>
  <c r="F86" i="4"/>
  <c r="M85" i="4"/>
  <c r="N85" i="4" s="1"/>
  <c r="J85" i="4"/>
  <c r="H85" i="4"/>
  <c r="F85" i="4"/>
  <c r="M84" i="4"/>
  <c r="N84" i="4" s="1"/>
  <c r="J84" i="4"/>
  <c r="H84" i="4"/>
  <c r="F84" i="4"/>
  <c r="M83" i="4"/>
  <c r="N83" i="4" s="1"/>
  <c r="J83" i="4"/>
  <c r="H83" i="4"/>
  <c r="F83" i="4"/>
  <c r="M82" i="4"/>
  <c r="N82" i="4" s="1"/>
  <c r="J82" i="4"/>
  <c r="H82" i="4"/>
  <c r="F82" i="4"/>
  <c r="M81" i="4"/>
  <c r="N81" i="4" s="1"/>
  <c r="J81" i="4"/>
  <c r="H81" i="4"/>
  <c r="F81" i="4"/>
  <c r="M80" i="4"/>
  <c r="N80" i="4" s="1"/>
  <c r="J80" i="4"/>
  <c r="H80" i="4"/>
  <c r="F80" i="4"/>
  <c r="M79" i="4"/>
  <c r="N79" i="4" s="1"/>
  <c r="J79" i="4"/>
  <c r="H79" i="4"/>
  <c r="F79" i="4"/>
  <c r="M78" i="4"/>
  <c r="N78" i="4" s="1"/>
  <c r="J78" i="4"/>
  <c r="H78" i="4"/>
  <c r="F78" i="4"/>
  <c r="M77" i="4"/>
  <c r="N77" i="4" s="1"/>
  <c r="J77" i="4"/>
  <c r="H77" i="4"/>
  <c r="F77" i="4"/>
  <c r="M76" i="4"/>
  <c r="N76" i="4" s="1"/>
  <c r="J76" i="4"/>
  <c r="H76" i="4"/>
  <c r="F76" i="4"/>
  <c r="M75" i="4"/>
  <c r="N75" i="4" s="1"/>
  <c r="J75" i="4"/>
  <c r="H75" i="4"/>
  <c r="F75" i="4"/>
  <c r="M74" i="4"/>
  <c r="N74" i="4" s="1"/>
  <c r="J74" i="4"/>
  <c r="H74" i="4"/>
  <c r="F74" i="4"/>
  <c r="M73" i="4"/>
  <c r="N73" i="4" s="1"/>
  <c r="J73" i="4"/>
  <c r="H73" i="4"/>
  <c r="F73" i="4"/>
  <c r="M72" i="4"/>
  <c r="N72" i="4" s="1"/>
  <c r="J72" i="4"/>
  <c r="H72" i="4"/>
  <c r="F72" i="4"/>
  <c r="M71" i="4"/>
  <c r="N71" i="4" s="1"/>
  <c r="J71" i="4"/>
  <c r="H71" i="4"/>
  <c r="F71" i="4"/>
  <c r="M70" i="4"/>
  <c r="N70" i="4" s="1"/>
  <c r="J70" i="4"/>
  <c r="H70" i="4"/>
  <c r="F70" i="4"/>
  <c r="M69" i="4"/>
  <c r="N69" i="4" s="1"/>
  <c r="J69" i="4"/>
  <c r="H69" i="4"/>
  <c r="F69" i="4"/>
  <c r="M68" i="4"/>
  <c r="N68" i="4" s="1"/>
  <c r="J68" i="4"/>
  <c r="H68" i="4"/>
  <c r="F68" i="4"/>
  <c r="M67" i="4"/>
  <c r="N67" i="4" s="1"/>
  <c r="J67" i="4"/>
  <c r="H67" i="4"/>
  <c r="F67" i="4"/>
  <c r="M66" i="4"/>
  <c r="N66" i="4" s="1"/>
  <c r="J66" i="4"/>
  <c r="H66" i="4"/>
  <c r="F66" i="4"/>
  <c r="M65" i="4"/>
  <c r="N65" i="4" s="1"/>
  <c r="J65" i="4"/>
  <c r="H65" i="4"/>
  <c r="F65" i="4"/>
  <c r="M64" i="4"/>
  <c r="N64" i="4" s="1"/>
  <c r="J64" i="4"/>
  <c r="H64" i="4"/>
  <c r="F64" i="4"/>
  <c r="M63" i="4"/>
  <c r="N63" i="4" s="1"/>
  <c r="J63" i="4"/>
  <c r="H63" i="4"/>
  <c r="F63" i="4"/>
  <c r="M62" i="4"/>
  <c r="N62" i="4" s="1"/>
  <c r="J62" i="4"/>
  <c r="H62" i="4"/>
  <c r="F62" i="4"/>
  <c r="M61" i="4"/>
  <c r="N61" i="4" s="1"/>
  <c r="J61" i="4"/>
  <c r="H61" i="4"/>
  <c r="F61" i="4"/>
  <c r="M60" i="4"/>
  <c r="N60" i="4" s="1"/>
  <c r="J60" i="4"/>
  <c r="H60" i="4"/>
  <c r="F60" i="4"/>
  <c r="M59" i="4"/>
  <c r="N59" i="4" s="1"/>
  <c r="J59" i="4"/>
  <c r="H59" i="4"/>
  <c r="F59" i="4"/>
  <c r="M58" i="4"/>
  <c r="N58" i="4" s="1"/>
  <c r="J58" i="4"/>
  <c r="H58" i="4"/>
  <c r="F58" i="4"/>
  <c r="M57" i="4"/>
  <c r="N57" i="4" s="1"/>
  <c r="J57" i="4"/>
  <c r="H57" i="4"/>
  <c r="F57" i="4"/>
  <c r="M56" i="4"/>
  <c r="N56" i="4" s="1"/>
  <c r="J56" i="4"/>
  <c r="H56" i="4"/>
  <c r="F56" i="4"/>
  <c r="M55" i="4"/>
  <c r="N55" i="4" s="1"/>
  <c r="J55" i="4"/>
  <c r="H55" i="4"/>
  <c r="F55" i="4"/>
  <c r="M54" i="4"/>
  <c r="N54" i="4" s="1"/>
  <c r="J54" i="4"/>
  <c r="H54" i="4"/>
  <c r="F54" i="4"/>
  <c r="M53" i="4"/>
  <c r="N53" i="4" s="1"/>
  <c r="J53" i="4"/>
  <c r="H53" i="4"/>
  <c r="F53" i="4"/>
  <c r="M52" i="4"/>
  <c r="N52" i="4" s="1"/>
  <c r="J52" i="4"/>
  <c r="H52" i="4"/>
  <c r="F52" i="4"/>
  <c r="M51" i="4"/>
  <c r="N51" i="4" s="1"/>
  <c r="J51" i="4"/>
  <c r="H51" i="4"/>
  <c r="F51" i="4"/>
  <c r="M50" i="4"/>
  <c r="N50" i="4" s="1"/>
  <c r="J50" i="4"/>
  <c r="H50" i="4"/>
  <c r="F50" i="4"/>
  <c r="M49" i="4"/>
  <c r="N49" i="4" s="1"/>
  <c r="J49" i="4"/>
  <c r="H49" i="4"/>
  <c r="F49" i="4"/>
  <c r="M48" i="4"/>
  <c r="N48" i="4" s="1"/>
  <c r="J48" i="4"/>
  <c r="H48" i="4"/>
  <c r="F48" i="4"/>
  <c r="M47" i="4"/>
  <c r="N47" i="4" s="1"/>
  <c r="J47" i="4"/>
  <c r="H47" i="4"/>
  <c r="F47" i="4"/>
  <c r="M46" i="4"/>
  <c r="N46" i="4" s="1"/>
  <c r="J46" i="4"/>
  <c r="H46" i="4"/>
  <c r="F46" i="4"/>
  <c r="M45" i="4"/>
  <c r="N45" i="4" s="1"/>
  <c r="J45" i="4"/>
  <c r="H45" i="4"/>
  <c r="F45" i="4"/>
  <c r="M44" i="4"/>
  <c r="N44" i="4" s="1"/>
  <c r="J44" i="4"/>
  <c r="H44" i="4"/>
  <c r="F44" i="4"/>
  <c r="M43" i="4"/>
  <c r="N43" i="4" s="1"/>
  <c r="J43" i="4"/>
  <c r="H43" i="4"/>
  <c r="F43" i="4"/>
  <c r="M42" i="4"/>
  <c r="N42" i="4" s="1"/>
  <c r="J42" i="4"/>
  <c r="H42" i="4"/>
  <c r="F42" i="4"/>
  <c r="M41" i="4"/>
  <c r="N41" i="4" s="1"/>
  <c r="J41" i="4"/>
  <c r="H41" i="4"/>
  <c r="F41" i="4"/>
  <c r="M40" i="4"/>
  <c r="N40" i="4" s="1"/>
  <c r="J40" i="4"/>
  <c r="H40" i="4"/>
  <c r="F40" i="4"/>
  <c r="M39" i="4"/>
  <c r="N39" i="4" s="1"/>
  <c r="J39" i="4"/>
  <c r="H39" i="4"/>
  <c r="F39" i="4"/>
  <c r="M38" i="4"/>
  <c r="N38" i="4" s="1"/>
  <c r="J38" i="4"/>
  <c r="H38" i="4"/>
  <c r="F38" i="4"/>
  <c r="M37" i="4"/>
  <c r="N37" i="4" s="1"/>
  <c r="J37" i="4"/>
  <c r="H37" i="4"/>
  <c r="F37" i="4"/>
  <c r="M36" i="4"/>
  <c r="N36" i="4" s="1"/>
  <c r="J36" i="4"/>
  <c r="H36" i="4"/>
  <c r="F36" i="4"/>
  <c r="M35" i="4"/>
  <c r="N35" i="4" s="1"/>
  <c r="J35" i="4"/>
  <c r="H35" i="4"/>
  <c r="F35" i="4"/>
  <c r="M34" i="4"/>
  <c r="N34" i="4" s="1"/>
  <c r="J34" i="4"/>
  <c r="H34" i="4"/>
  <c r="F34" i="4"/>
  <c r="M33" i="4"/>
  <c r="N33" i="4" s="1"/>
  <c r="J33" i="4"/>
  <c r="H33" i="4"/>
  <c r="F33" i="4"/>
  <c r="M32" i="4"/>
  <c r="N32" i="4" s="1"/>
  <c r="J32" i="4"/>
  <c r="H32" i="4"/>
  <c r="F32" i="4"/>
  <c r="M31" i="4"/>
  <c r="N31" i="4" s="1"/>
  <c r="J31" i="4"/>
  <c r="H31" i="4"/>
  <c r="F31" i="4"/>
  <c r="M30" i="4"/>
  <c r="N30" i="4" s="1"/>
  <c r="J30" i="4"/>
  <c r="H30" i="4"/>
  <c r="F30" i="4"/>
  <c r="M29" i="4"/>
  <c r="N29" i="4" s="1"/>
  <c r="J29" i="4"/>
  <c r="H29" i="4"/>
  <c r="F29" i="4"/>
  <c r="M28" i="4"/>
  <c r="N28" i="4" s="1"/>
  <c r="J28" i="4"/>
  <c r="H28" i="4"/>
  <c r="F28" i="4"/>
  <c r="M27" i="4"/>
  <c r="N27" i="4" s="1"/>
  <c r="J27" i="4"/>
  <c r="H27" i="4"/>
  <c r="F27" i="4"/>
  <c r="M26" i="4"/>
  <c r="N26" i="4" s="1"/>
  <c r="J26" i="4"/>
  <c r="H26" i="4"/>
  <c r="F26" i="4"/>
  <c r="M25" i="4"/>
  <c r="N25" i="4" s="1"/>
  <c r="J25" i="4"/>
  <c r="H25" i="4"/>
  <c r="F25" i="4"/>
  <c r="M24" i="4"/>
  <c r="N24" i="4" s="1"/>
  <c r="J24" i="4"/>
  <c r="H24" i="4"/>
  <c r="F24" i="4"/>
  <c r="M23" i="4"/>
  <c r="N23" i="4" s="1"/>
  <c r="J23" i="4"/>
  <c r="H23" i="4"/>
  <c r="F23" i="4"/>
  <c r="M22" i="4"/>
  <c r="N22" i="4" s="1"/>
  <c r="J22" i="4"/>
  <c r="H22" i="4"/>
  <c r="F22" i="4"/>
  <c r="M21" i="4"/>
  <c r="N21" i="4" s="1"/>
  <c r="J21" i="4"/>
  <c r="H21" i="4"/>
  <c r="F21" i="4"/>
  <c r="M20" i="4"/>
  <c r="N20" i="4" s="1"/>
  <c r="J20" i="4"/>
  <c r="H20" i="4"/>
  <c r="F20" i="4"/>
  <c r="M19" i="4"/>
  <c r="N19" i="4" s="1"/>
  <c r="J19" i="4"/>
  <c r="H19" i="4"/>
  <c r="F19" i="4"/>
  <c r="M18" i="4"/>
  <c r="N18" i="4" s="1"/>
  <c r="J18" i="4"/>
  <c r="H18" i="4"/>
  <c r="F18" i="4"/>
  <c r="M17" i="4"/>
  <c r="N17" i="4" s="1"/>
  <c r="J17" i="4"/>
  <c r="H17" i="4"/>
  <c r="F17" i="4"/>
  <c r="M16" i="4"/>
  <c r="N16" i="4" s="1"/>
  <c r="J16" i="4"/>
  <c r="H16" i="4"/>
  <c r="F16" i="4"/>
  <c r="M15" i="4"/>
  <c r="N15" i="4" s="1"/>
  <c r="J15" i="4"/>
  <c r="H15" i="4"/>
  <c r="F15" i="4"/>
  <c r="M14" i="4"/>
  <c r="N14" i="4" s="1"/>
  <c r="J14" i="4"/>
  <c r="H14" i="4"/>
  <c r="F14" i="4"/>
  <c r="M13" i="4"/>
  <c r="N13" i="4" s="1"/>
  <c r="J13" i="4"/>
  <c r="H13" i="4"/>
  <c r="F13" i="4"/>
  <c r="M12" i="4"/>
  <c r="N12" i="4" s="1"/>
  <c r="J12" i="4"/>
  <c r="H12" i="4"/>
  <c r="F12" i="4"/>
  <c r="M11" i="4"/>
  <c r="N11" i="4" s="1"/>
  <c r="J11" i="4"/>
  <c r="H11" i="4"/>
  <c r="F11" i="4"/>
  <c r="M10" i="4"/>
  <c r="N10" i="4" s="1"/>
  <c r="J10" i="4"/>
  <c r="H10" i="4"/>
  <c r="F10" i="4"/>
  <c r="M9" i="4"/>
  <c r="N9" i="4" s="1"/>
  <c r="J9" i="4"/>
  <c r="H9" i="4"/>
  <c r="F9" i="4"/>
  <c r="M8" i="4"/>
  <c r="N8" i="4" s="1"/>
  <c r="J8" i="4"/>
  <c r="H8" i="4"/>
  <c r="F8" i="4"/>
  <c r="M7" i="4"/>
  <c r="N7" i="4" s="1"/>
  <c r="J7" i="4"/>
  <c r="H7" i="4"/>
  <c r="F7" i="4"/>
  <c r="M6" i="4"/>
  <c r="N6" i="4" s="1"/>
  <c r="J6" i="4"/>
  <c r="H6" i="4"/>
  <c r="F6" i="4"/>
  <c r="M5" i="4"/>
  <c r="N5" i="4" s="1"/>
  <c r="J5" i="4"/>
  <c r="H5" i="4"/>
  <c r="F5" i="4"/>
  <c r="M4" i="4"/>
  <c r="N4" i="4" s="1"/>
  <c r="J4" i="4"/>
  <c r="H4" i="4"/>
  <c r="F4" i="4"/>
  <c r="K171" i="4" l="1"/>
  <c r="K129" i="4"/>
  <c r="K103" i="4"/>
  <c r="K23" i="4"/>
  <c r="K37" i="4"/>
  <c r="K39" i="4"/>
  <c r="O39" i="4" s="1"/>
  <c r="K41" i="4"/>
  <c r="O41" i="4" s="1"/>
  <c r="K133" i="4"/>
  <c r="O133" i="4" s="1"/>
  <c r="K53" i="4"/>
  <c r="K36" i="4"/>
  <c r="O36" i="4" s="1"/>
  <c r="K58" i="4"/>
  <c r="O58" i="4" s="1"/>
  <c r="K150" i="4"/>
  <c r="K152" i="4"/>
  <c r="K55" i="4"/>
  <c r="O55" i="4" s="1"/>
  <c r="K102" i="4"/>
  <c r="O102" i="4" s="1"/>
  <c r="K72" i="4"/>
  <c r="O72" i="4" s="1"/>
  <c r="K62" i="4"/>
  <c r="O62" i="4" s="1"/>
  <c r="O129" i="4"/>
  <c r="K170" i="4"/>
  <c r="O170" i="4" s="1"/>
  <c r="K172" i="4"/>
  <c r="O172" i="4" s="1"/>
  <c r="K24" i="4"/>
  <c r="O24" i="4" s="1"/>
  <c r="K26" i="4"/>
  <c r="O26" i="4" s="1"/>
  <c r="K30" i="4"/>
  <c r="O30" i="4" s="1"/>
  <c r="K135" i="4"/>
  <c r="O135" i="4" s="1"/>
  <c r="K42" i="4"/>
  <c r="O42" i="4" s="1"/>
  <c r="K44" i="4"/>
  <c r="O44" i="4" s="1"/>
  <c r="K57" i="4"/>
  <c r="O57" i="4" s="1"/>
  <c r="K82" i="4"/>
  <c r="O82" i="4" s="1"/>
  <c r="K84" i="4"/>
  <c r="O84" i="4" s="1"/>
  <c r="K86" i="4"/>
  <c r="O86" i="4" s="1"/>
  <c r="K90" i="4"/>
  <c r="O90" i="4" s="1"/>
  <c r="K92" i="4"/>
  <c r="O92" i="4" s="1"/>
  <c r="K94" i="4"/>
  <c r="K96" i="4"/>
  <c r="O96" i="4" s="1"/>
  <c r="K104" i="4"/>
  <c r="O104" i="4" s="1"/>
  <c r="K110" i="4"/>
  <c r="O110" i="4" s="1"/>
  <c r="K112" i="4"/>
  <c r="O112" i="4" s="1"/>
  <c r="K114" i="4"/>
  <c r="O114" i="4" s="1"/>
  <c r="K116" i="4"/>
  <c r="O116" i="4" s="1"/>
  <c r="K118" i="4"/>
  <c r="O118" i="4" s="1"/>
  <c r="K117" i="4"/>
  <c r="K148" i="4"/>
  <c r="O148" i="4" s="1"/>
  <c r="K156" i="4"/>
  <c r="O156" i="4" s="1"/>
  <c r="K158" i="4"/>
  <c r="O158" i="4" s="1"/>
  <c r="K143" i="4"/>
  <c r="O143" i="4" s="1"/>
  <c r="K43" i="4"/>
  <c r="O43" i="4" s="1"/>
  <c r="K97" i="4"/>
  <c r="O97" i="4" s="1"/>
  <c r="K136" i="4"/>
  <c r="O136" i="4" s="1"/>
  <c r="K138" i="4"/>
  <c r="O138" i="4" s="1"/>
  <c r="K140" i="4"/>
  <c r="O140" i="4" s="1"/>
  <c r="K142" i="4"/>
  <c r="O142" i="4" s="1"/>
  <c r="K10" i="4"/>
  <c r="O10" i="4" s="1"/>
  <c r="K12" i="4"/>
  <c r="O12" i="4" s="1"/>
  <c r="K14" i="4"/>
  <c r="O14" i="4" s="1"/>
  <c r="K31" i="4"/>
  <c r="O31" i="4" s="1"/>
  <c r="K45" i="4"/>
  <c r="O45" i="4" s="1"/>
  <c r="K75" i="4"/>
  <c r="O75" i="4" s="1"/>
  <c r="K79" i="4"/>
  <c r="O79" i="4" s="1"/>
  <c r="K81" i="4"/>
  <c r="O81" i="4" s="1"/>
  <c r="K83" i="4"/>
  <c r="O83" i="4" s="1"/>
  <c r="K87" i="4"/>
  <c r="O87" i="4" s="1"/>
  <c r="K89" i="4"/>
  <c r="O89" i="4" s="1"/>
  <c r="K95" i="4"/>
  <c r="O95" i="4" s="1"/>
  <c r="K127" i="4"/>
  <c r="O127" i="4" s="1"/>
  <c r="K18" i="4"/>
  <c r="O18" i="4" s="1"/>
  <c r="K20" i="4"/>
  <c r="O20" i="4" s="1"/>
  <c r="K22" i="4"/>
  <c r="O22" i="4" s="1"/>
  <c r="K47" i="4"/>
  <c r="O47" i="4" s="1"/>
  <c r="K64" i="4"/>
  <c r="O64" i="4" s="1"/>
  <c r="K139" i="4"/>
  <c r="O139" i="4" s="1"/>
  <c r="K168" i="4"/>
  <c r="O168" i="4" s="1"/>
  <c r="K7" i="4"/>
  <c r="O7" i="4" s="1"/>
  <c r="K9" i="4"/>
  <c r="O9" i="4" s="1"/>
  <c r="O53" i="4"/>
  <c r="K122" i="4"/>
  <c r="O122" i="4" s="1"/>
  <c r="K124" i="4"/>
  <c r="O124" i="4" s="1"/>
  <c r="K126" i="4"/>
  <c r="O126" i="4" s="1"/>
  <c r="K145" i="4"/>
  <c r="O145" i="4" s="1"/>
  <c r="K166" i="4"/>
  <c r="O166" i="4" s="1"/>
  <c r="K32" i="4"/>
  <c r="O32" i="4" s="1"/>
  <c r="K38" i="4"/>
  <c r="O38" i="4" s="1"/>
  <c r="K40" i="4"/>
  <c r="O40" i="4" s="1"/>
  <c r="K70" i="4"/>
  <c r="O70" i="4" s="1"/>
  <c r="K76" i="4"/>
  <c r="O76" i="4" s="1"/>
  <c r="K78" i="4"/>
  <c r="O78" i="4" s="1"/>
  <c r="K105" i="4"/>
  <c r="O105" i="4" s="1"/>
  <c r="K109" i="4"/>
  <c r="O109" i="4" s="1"/>
  <c r="K4" i="4"/>
  <c r="O4" i="4" s="1"/>
  <c r="K6" i="4"/>
  <c r="O6" i="4" s="1"/>
  <c r="K11" i="4"/>
  <c r="O11" i="4" s="1"/>
  <c r="K15" i="4"/>
  <c r="O15" i="4" s="1"/>
  <c r="K17" i="4"/>
  <c r="O17" i="4" s="1"/>
  <c r="K21" i="4"/>
  <c r="O21" i="4" s="1"/>
  <c r="K46" i="4"/>
  <c r="O46" i="4" s="1"/>
  <c r="K61" i="4"/>
  <c r="O61" i="4" s="1"/>
  <c r="K63" i="4"/>
  <c r="O63" i="4" s="1"/>
  <c r="K111" i="4"/>
  <c r="O111" i="4" s="1"/>
  <c r="K115" i="4"/>
  <c r="O115" i="4" s="1"/>
  <c r="K119" i="4"/>
  <c r="O119" i="4" s="1"/>
  <c r="K134" i="4"/>
  <c r="O134" i="4" s="1"/>
  <c r="K144" i="4"/>
  <c r="O144" i="4" s="1"/>
  <c r="K155" i="4"/>
  <c r="O155" i="4" s="1"/>
  <c r="K157" i="4"/>
  <c r="O157" i="4" s="1"/>
  <c r="K159" i="4"/>
  <c r="O159" i="4" s="1"/>
  <c r="K161" i="4"/>
  <c r="O161" i="4" s="1"/>
  <c r="K165" i="4"/>
  <c r="O165" i="4" s="1"/>
  <c r="K167" i="4"/>
  <c r="O167" i="4" s="1"/>
  <c r="K25" i="4"/>
  <c r="O25" i="4" s="1"/>
  <c r="K29" i="4"/>
  <c r="O29" i="4" s="1"/>
  <c r="K50" i="4"/>
  <c r="O50" i="4" s="1"/>
  <c r="K52" i="4"/>
  <c r="O52" i="4" s="1"/>
  <c r="K54" i="4"/>
  <c r="O54" i="4" s="1"/>
  <c r="K69" i="4"/>
  <c r="O69" i="4" s="1"/>
  <c r="K71" i="4"/>
  <c r="O71" i="4" s="1"/>
  <c r="K73" i="4"/>
  <c r="O73" i="4" s="1"/>
  <c r="K173" i="4"/>
  <c r="O173" i="4" s="1"/>
  <c r="O94" i="4"/>
  <c r="O150" i="4"/>
  <c r="K27" i="4"/>
  <c r="O27" i="4" s="1"/>
  <c r="K147" i="4"/>
  <c r="O147" i="4" s="1"/>
  <c r="K34" i="4"/>
  <c r="O34" i="4" s="1"/>
  <c r="K49" i="4"/>
  <c r="O49" i="4" s="1"/>
  <c r="K56" i="4"/>
  <c r="O56" i="4" s="1"/>
  <c r="K59" i="4"/>
  <c r="O59" i="4" s="1"/>
  <c r="K99" i="4"/>
  <c r="O99" i="4" s="1"/>
  <c r="K121" i="4"/>
  <c r="O121" i="4" s="1"/>
  <c r="K128" i="4"/>
  <c r="O128" i="4" s="1"/>
  <c r="K131" i="4"/>
  <c r="O131" i="4" s="1"/>
  <c r="K149" i="4"/>
  <c r="O149" i="4" s="1"/>
  <c r="K163" i="4"/>
  <c r="O163" i="4" s="1"/>
  <c r="K35" i="4"/>
  <c r="O35" i="4" s="1"/>
  <c r="O103" i="4"/>
  <c r="K19" i="4"/>
  <c r="O19" i="4" s="1"/>
  <c r="K66" i="4"/>
  <c r="O66" i="4" s="1"/>
  <c r="K68" i="4"/>
  <c r="O68" i="4" s="1"/>
  <c r="K67" i="4"/>
  <c r="O67" i="4" s="1"/>
  <c r="O37" i="4"/>
  <c r="K107" i="4"/>
  <c r="O107" i="4" s="1"/>
  <c r="K16" i="4"/>
  <c r="O16" i="4" s="1"/>
  <c r="K28" i="4"/>
  <c r="O28" i="4" s="1"/>
  <c r="K33" i="4"/>
  <c r="O33" i="4" s="1"/>
  <c r="K51" i="4"/>
  <c r="O51" i="4" s="1"/>
  <c r="K77" i="4"/>
  <c r="O77" i="4" s="1"/>
  <c r="K80" i="4"/>
  <c r="O80" i="4" s="1"/>
  <c r="K85" i="4"/>
  <c r="O85" i="4" s="1"/>
  <c r="K88" i="4"/>
  <c r="O88" i="4" s="1"/>
  <c r="K91" i="4"/>
  <c r="O91" i="4" s="1"/>
  <c r="K93" i="4"/>
  <c r="O93" i="4" s="1"/>
  <c r="K106" i="4"/>
  <c r="O106" i="4" s="1"/>
  <c r="K108" i="4"/>
  <c r="O108" i="4" s="1"/>
  <c r="K113" i="4"/>
  <c r="O113" i="4" s="1"/>
  <c r="K123" i="4"/>
  <c r="O123" i="4" s="1"/>
  <c r="K137" i="4"/>
  <c r="O137" i="4" s="1"/>
  <c r="K151" i="4"/>
  <c r="O151" i="4" s="1"/>
  <c r="K5" i="4"/>
  <c r="O5" i="4" s="1"/>
  <c r="O23" i="4"/>
  <c r="K8" i="4"/>
  <c r="O8" i="4" s="1"/>
  <c r="K13" i="4"/>
  <c r="O13" i="4" s="1"/>
  <c r="K48" i="4"/>
  <c r="O48" i="4" s="1"/>
  <c r="K60" i="4"/>
  <c r="O60" i="4" s="1"/>
  <c r="K65" i="4"/>
  <c r="O65" i="4" s="1"/>
  <c r="K98" i="4"/>
  <c r="O98" i="4" s="1"/>
  <c r="K100" i="4"/>
  <c r="O100" i="4" s="1"/>
  <c r="K120" i="4"/>
  <c r="O120" i="4" s="1"/>
  <c r="K130" i="4"/>
  <c r="O130" i="4" s="1"/>
  <c r="K132" i="4"/>
  <c r="O132" i="4" s="1"/>
  <c r="K141" i="4"/>
  <c r="O141" i="4" s="1"/>
  <c r="K153" i="4"/>
  <c r="O153" i="4" s="1"/>
  <c r="K162" i="4"/>
  <c r="O162" i="4" s="1"/>
  <c r="K164" i="4"/>
  <c r="O164" i="4" s="1"/>
  <c r="K169" i="4"/>
  <c r="O169" i="4" s="1"/>
  <c r="O117" i="4"/>
  <c r="O160" i="4"/>
  <c r="O152" i="4"/>
  <c r="O171" i="4"/>
  <c r="K101" i="4"/>
  <c r="O101" i="4" s="1"/>
  <c r="K146" i="4"/>
  <c r="O146" i="4" s="1"/>
  <c r="K74" i="4"/>
  <c r="O74" i="4" s="1"/>
  <c r="K125" i="4"/>
  <c r="O125" i="4" s="1"/>
  <c r="K154" i="4"/>
  <c r="O154" i="4" s="1"/>
</calcChain>
</file>

<file path=xl/sharedStrings.xml><?xml version="1.0" encoding="utf-8"?>
<sst xmlns="http://schemas.openxmlformats.org/spreadsheetml/2006/main" count="1170" uniqueCount="81">
  <si>
    <t>REQUIREMENTS!</t>
  </si>
  <si>
    <t xml:space="preserve">This will be the guide for your works: </t>
  </si>
  <si>
    <t xml:space="preserve">1) Compute the HDI per record using the standard UNDP formula (don’t need to show the calculation in the dashboard) </t>
  </si>
  <si>
    <t xml:space="preserve">2) Summary Statistics by Year and Sex </t>
  </si>
  <si>
    <t xml:space="preserve">3) Trend Visualization (Over Time) </t>
  </si>
  <si>
    <t xml:space="preserve">4) HDI by Sex Comparison </t>
  </si>
  <si>
    <t xml:space="preserve">5) Insights - Highlight best and worst performing years or sex group - or other insights </t>
  </si>
  <si>
    <t xml:space="preserve">6) Interactive Elements </t>
  </si>
  <si>
    <t xml:space="preserve">7) Design and Clarity </t>
  </si>
  <si>
    <t>Human Development Index (HDI) components:</t>
  </si>
  <si>
    <t>🩺Life expectancy at birth</t>
  </si>
  <si>
    <t>🎓Mean years of schooling for adults</t>
  </si>
  <si>
    <t>📘Expected years of schooling</t>
  </si>
  <si>
    <t>💰Gross National Income (GNI) per capita</t>
  </si>
  <si>
    <t>Female</t>
  </si>
  <si>
    <t>Male</t>
  </si>
  <si>
    <t>ARMM</t>
  </si>
  <si>
    <t>CAR</t>
  </si>
  <si>
    <t>NCR</t>
  </si>
  <si>
    <t>Region I</t>
  </si>
  <si>
    <t>Region II</t>
  </si>
  <si>
    <t>Region III</t>
  </si>
  <si>
    <t>Region IVA</t>
  </si>
  <si>
    <t>Region IVB</t>
  </si>
  <si>
    <t>Region IX</t>
  </si>
  <si>
    <t>Region V</t>
  </si>
  <si>
    <t>Region VI</t>
  </si>
  <si>
    <t>Region VII</t>
  </si>
  <si>
    <t>Region VIII</t>
  </si>
  <si>
    <t>Region X</t>
  </si>
  <si>
    <t>Region XI</t>
  </si>
  <si>
    <t>Region XII</t>
  </si>
  <si>
    <t>Region XIII</t>
  </si>
  <si>
    <t>Region</t>
  </si>
  <si>
    <t>Year</t>
  </si>
  <si>
    <t>SEX</t>
  </si>
  <si>
    <t xml:space="preserve">Life Expectancy </t>
  </si>
  <si>
    <t xml:space="preserve">Expected Schooling </t>
  </si>
  <si>
    <t xml:space="preserve">Mean schooling </t>
  </si>
  <si>
    <t>Gross National Income per capita in pesos</t>
  </si>
  <si>
    <t>Health Index</t>
  </si>
  <si>
    <t>MYSI</t>
  </si>
  <si>
    <t>EYSI</t>
  </si>
  <si>
    <t>Education Index</t>
  </si>
  <si>
    <t>Income Index</t>
  </si>
  <si>
    <t>HDI</t>
  </si>
  <si>
    <t>=([@EYSI]+[@MYSI])/2</t>
  </si>
  <si>
    <t>=( EYSI + MYSI ) / 2</t>
  </si>
  <si>
    <t>=( LN( [@[GNI_USD]] ) - LN(100) ) / ( LN(75000) - LN(100) )</t>
  </si>
  <si>
    <t>[@[GNI per capita in USD]]</t>
  </si>
  <si>
    <t>=( LN( [@[GNI per capita in USD]] ) - LN(100) ) / ( LN(75000) - LN(100) )</t>
  </si>
  <si>
    <t>=POWER( ( Health_Index * Education_Index * Income_Index ), 1/3 )</t>
  </si>
  <si>
    <t>=POWER(([@[Health Index]]*[@[Education Index]]*[@[Income Index]]), 1/3)</t>
  </si>
  <si>
    <t>PHP per USD</t>
  </si>
  <si>
    <t>GNI per capita (PHP)</t>
  </si>
  <si>
    <t>GNI per capita (USD)</t>
  </si>
  <si>
    <t>=VLOOKUP(B2, exchange_rates, 2, FALSE)</t>
  </si>
  <si>
    <t>Sex</t>
  </si>
  <si>
    <t xml:space="preserve">Life 
Expectancy </t>
  </si>
  <si>
    <t xml:space="preserve">Expected 
Schooling </t>
  </si>
  <si>
    <t xml:space="preserve">Mean 
Schooling </t>
  </si>
  <si>
    <t>GNI per capita 
(PHP)</t>
  </si>
  <si>
    <t>GNI per capita 
(USD)</t>
  </si>
  <si>
    <t>Education 
Index</t>
  </si>
  <si>
    <t>Income 
Index</t>
  </si>
  <si>
    <t>Health 
Index</t>
  </si>
  <si>
    <t>USD to PHP</t>
  </si>
  <si>
    <t>Expected Schooling 
Index</t>
  </si>
  <si>
    <t>Mean 
Schooling 
Index</t>
  </si>
  <si>
    <t>Row Labels</t>
  </si>
  <si>
    <t>Grand Total</t>
  </si>
  <si>
    <t>Average of HDI</t>
  </si>
  <si>
    <t>Table 1: Average HDI by Region</t>
  </si>
  <si>
    <t>Column Labels</t>
  </si>
  <si>
    <t>Table 2: Average HDI by Sex</t>
  </si>
  <si>
    <t>Table 3: Average HDI by Year</t>
  </si>
  <si>
    <t>Table 4: Average HDI by Region by Year</t>
  </si>
  <si>
    <t>Table 5: Average HDI by Sex by Year</t>
  </si>
  <si>
    <t>Table 6: Average HDI by Region by Sex</t>
  </si>
  <si>
    <t>Detailed Breakdown</t>
  </si>
  <si>
    <r>
      <t xml:space="preserve">Summary: </t>
    </r>
    <r>
      <rPr>
        <b/>
        <sz val="36"/>
        <color theme="0" tint="-0.499984740745262"/>
        <rFont val="Bahnschrift SemiCondensed"/>
        <family val="2"/>
      </rPr>
      <t>5-year Average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</si>
</sst>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
    <numFmt numFmtId="165" formatCode="0.000"/>
    <numFmt numFmtId="166" formatCode="0.0000"/>
    <numFmt numFmtId="167" formatCode="#,##0.000"/>
    <numFmt numFmtId="168" formatCode="[$₱-3409]#,##0.00"/>
  </numFmts>
  <fonts count="17" x14ac:knownFonts="1">
    <font>
      <sz val="11"/>
      <color theme="1"/>
      <name val="Calibri"/>
      <scheme val="minor"/>
    </font>
    <font>
      <sz val="11"/>
      <color theme="1"/>
      <name val="Calibri"/>
      <family val="2"/>
      <scheme val="minor"/>
    </font>
    <font>
      <sz val="18"/>
      <color theme="1"/>
      <name val="Times New Roman"/>
      <family val="1"/>
    </font>
    <font>
      <sz val="18"/>
      <color indexed="64"/>
      <name val="Times New Roman"/>
      <family val="1"/>
    </font>
    <font>
      <b/>
      <sz val="11"/>
      <color theme="0"/>
      <name val="Calibri"/>
      <family val="2"/>
      <scheme val="minor"/>
    </font>
    <font>
      <sz val="8"/>
      <name val="Calibri"/>
      <family val="2"/>
      <scheme val="minor"/>
    </font>
    <font>
      <b/>
      <sz val="18"/>
      <color theme="1"/>
      <name val="Times New Roman"/>
      <family val="1"/>
    </font>
    <font>
      <sz val="12"/>
      <color theme="1"/>
      <name val="Calibri"/>
      <family val="2"/>
      <scheme val="minor"/>
    </font>
    <font>
      <sz val="11"/>
      <color theme="1"/>
      <name val="Aptos"/>
      <family val="2"/>
    </font>
    <font>
      <b/>
      <sz val="11"/>
      <color theme="0"/>
      <name val="Aptos"/>
      <family val="2"/>
    </font>
    <font>
      <sz val="11"/>
      <color theme="0"/>
      <name val="Aptos"/>
      <family val="2"/>
    </font>
    <font>
      <b/>
      <sz val="18"/>
      <color theme="9" tint="-0.499984740745262"/>
      <name val="Calibri"/>
      <family val="2"/>
      <scheme val="minor"/>
    </font>
    <font>
      <b/>
      <sz val="18"/>
      <color theme="5" tint="-0.499984740745262"/>
      <name val="Calibri"/>
      <family val="2"/>
      <scheme val="minor"/>
    </font>
    <font>
      <b/>
      <sz val="18"/>
      <color rgb="FF002060"/>
      <name val="Calibri"/>
      <family val="2"/>
      <scheme val="minor"/>
    </font>
    <font>
      <b/>
      <sz val="18"/>
      <color theme="8" tint="-0.499984740745262"/>
      <name val="Calibri"/>
      <family val="2"/>
      <scheme val="minor"/>
    </font>
    <font>
      <b/>
      <sz val="36"/>
      <color theme="2" tint="-0.749992370372631"/>
      <name val="Bahnschrift SemiCondensed"/>
      <family val="2"/>
    </font>
    <font>
      <b/>
      <sz val="36"/>
      <color theme="0" tint="-0.499984740745262"/>
      <name val="Bahnschrift SemiCondensed"/>
      <family val="2"/>
    </font>
  </fonts>
  <fills count="6">
    <fill>
      <patternFill patternType="none"/>
    </fill>
    <fill>
      <patternFill patternType="gray125"/>
    </fill>
    <fill>
      <patternFill patternType="solid">
        <fgColor theme="5"/>
        <bgColor theme="5"/>
      </patternFill>
    </fill>
    <fill>
      <patternFill patternType="solid">
        <fgColor theme="4"/>
        <bgColor theme="4"/>
      </patternFill>
    </fill>
    <fill>
      <patternFill patternType="solid">
        <fgColor theme="0"/>
        <bgColor indexed="64"/>
      </patternFill>
    </fill>
    <fill>
      <patternFill patternType="solid">
        <fgColor theme="0" tint="-4.9989318521683403E-2"/>
        <bgColor indexed="64"/>
      </patternFill>
    </fill>
  </fills>
  <borders count="8">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right/>
      <top style="thin">
        <color theme="4"/>
      </top>
      <bottom/>
      <diagonal/>
    </border>
  </borders>
  <cellStyleXfs count="3">
    <xf numFmtId="0" fontId="0" fillId="0" borderId="0"/>
    <xf numFmtId="0" fontId="7" fillId="0" borderId="0"/>
    <xf numFmtId="0" fontId="1" fillId="0" borderId="0"/>
  </cellStyleXfs>
  <cellXfs count="68">
    <xf numFmtId="0" fontId="0" fillId="0" borderId="0" xfId="0"/>
    <xf numFmtId="0" fontId="2" fillId="0" borderId="0" xfId="0" applyFont="1"/>
    <xf numFmtId="0" fontId="3" fillId="0" borderId="0" xfId="0" applyFont="1" applyAlignment="1">
      <alignment horizontal="left"/>
    </xf>
    <xf numFmtId="0" fontId="3" fillId="0" borderId="0" xfId="0" applyFont="1"/>
    <xf numFmtId="0" fontId="4" fillId="2" borderId="1" xfId="0" applyFont="1" applyFill="1" applyBorder="1"/>
    <xf numFmtId="0" fontId="4" fillId="2" borderId="2" xfId="0" applyFont="1" applyFill="1" applyBorder="1"/>
    <xf numFmtId="0" fontId="4" fillId="2" borderId="3" xfId="0" applyFont="1" applyFill="1" applyBorder="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0" xfId="0" applyFont="1"/>
    <xf numFmtId="0" fontId="1" fillId="0" borderId="0" xfId="0" quotePrefix="1" applyFont="1"/>
    <xf numFmtId="0" fontId="0" fillId="0" borderId="0" xfId="0" applyAlignment="1">
      <alignment horizontal="center" vertical="center"/>
    </xf>
    <xf numFmtId="4" fontId="0" fillId="0" borderId="0" xfId="0" applyNumberFormat="1" applyAlignment="1">
      <alignment horizontal="center" vertical="center"/>
    </xf>
    <xf numFmtId="164" fontId="1" fillId="0" borderId="0" xfId="0" applyNumberFormat="1" applyFont="1" applyAlignment="1">
      <alignment horizontal="center" vertical="center"/>
    </xf>
    <xf numFmtId="4" fontId="1" fillId="0" borderId="0" xfId="0" applyNumberFormat="1" applyFont="1" applyAlignment="1">
      <alignment horizontal="center" vertical="center"/>
    </xf>
    <xf numFmtId="166" fontId="1" fillId="0" borderId="0" xfId="0" applyNumberFormat="1" applyFont="1" applyAlignment="1">
      <alignment horizontal="center" vertical="center"/>
    </xf>
    <xf numFmtId="167" fontId="1" fillId="0" borderId="0" xfId="0" applyNumberFormat="1" applyFont="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167" fontId="0" fillId="0" borderId="0" xfId="0" applyNumberFormat="1" applyAlignment="1">
      <alignment horizontal="center" vertical="center"/>
    </xf>
    <xf numFmtId="168" fontId="1" fillId="0" borderId="0" xfId="0" applyNumberFormat="1" applyFont="1" applyAlignment="1">
      <alignment horizontal="center" vertical="center"/>
    </xf>
    <xf numFmtId="168" fontId="0" fillId="0" borderId="0" xfId="0" applyNumberFormat="1" applyAlignment="1">
      <alignment horizontal="center" vertical="center"/>
    </xf>
    <xf numFmtId="0" fontId="6" fillId="0" borderId="0" xfId="0" applyFont="1"/>
    <xf numFmtId="0" fontId="8" fillId="0" borderId="0" xfId="0" applyFont="1" applyBorder="1" applyAlignment="1">
      <alignment horizontal="center" vertical="center"/>
    </xf>
    <xf numFmtId="168" fontId="8" fillId="0" borderId="0" xfId="0" applyNumberFormat="1" applyFont="1" applyBorder="1" applyAlignment="1">
      <alignment horizontal="center" vertical="center"/>
    </xf>
    <xf numFmtId="0" fontId="9" fillId="3" borderId="0" xfId="0" applyFont="1" applyFill="1" applyBorder="1" applyAlignment="1">
      <alignment horizontal="center" vertical="center"/>
    </xf>
    <xf numFmtId="168" fontId="9" fillId="3" borderId="0" xfId="0" applyNumberFormat="1" applyFont="1" applyFill="1" applyBorder="1" applyAlignment="1">
      <alignment horizontal="center" vertical="center" wrapText="1"/>
    </xf>
    <xf numFmtId="164" fontId="9" fillId="3" borderId="0" xfId="0" applyNumberFormat="1" applyFont="1" applyFill="1" applyBorder="1" applyAlignment="1">
      <alignment horizontal="center" vertical="center" wrapText="1"/>
    </xf>
    <xf numFmtId="4" fontId="9" fillId="3" borderId="0" xfId="0" applyNumberFormat="1" applyFont="1" applyFill="1" applyBorder="1" applyAlignment="1">
      <alignment horizontal="center" vertical="center" wrapText="1"/>
    </xf>
    <xf numFmtId="0" fontId="9" fillId="3" borderId="0" xfId="0" applyFont="1" applyFill="1" applyBorder="1" applyAlignment="1">
      <alignment horizontal="center" vertical="center" wrapText="1"/>
    </xf>
    <xf numFmtId="165" fontId="9" fillId="3" borderId="0" xfId="0" applyNumberFormat="1" applyFont="1" applyFill="1" applyBorder="1" applyAlignment="1">
      <alignment horizontal="center" vertical="center" wrapText="1"/>
    </xf>
    <xf numFmtId="167" fontId="9" fillId="3" borderId="0" xfId="0" applyNumberFormat="1" applyFont="1" applyFill="1" applyBorder="1" applyAlignment="1">
      <alignment horizontal="center" vertical="center"/>
    </xf>
    <xf numFmtId="0" fontId="10" fillId="4" borderId="0"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7" xfId="0" applyFont="1" applyFill="1" applyBorder="1" applyAlignment="1">
      <alignment horizontal="center" vertical="center"/>
    </xf>
    <xf numFmtId="165" fontId="8" fillId="4" borderId="7" xfId="0" applyNumberFormat="1" applyFont="1" applyFill="1" applyBorder="1" applyAlignment="1">
      <alignment horizontal="center" vertical="center"/>
    </xf>
    <xf numFmtId="4" fontId="8" fillId="4" borderId="7" xfId="0" applyNumberFormat="1" applyFont="1" applyFill="1" applyBorder="1" applyAlignment="1">
      <alignment horizontal="center" vertical="center"/>
    </xf>
    <xf numFmtId="168" fontId="8" fillId="4" borderId="7" xfId="0" applyNumberFormat="1" applyFont="1" applyFill="1" applyBorder="1" applyAlignment="1">
      <alignment horizontal="center" vertical="center"/>
    </xf>
    <xf numFmtId="164" fontId="8" fillId="4" borderId="7" xfId="0" applyNumberFormat="1" applyFont="1" applyFill="1" applyBorder="1" applyAlignment="1">
      <alignment horizontal="center" vertical="center"/>
    </xf>
    <xf numFmtId="167" fontId="8" fillId="4" borderId="7" xfId="0" applyNumberFormat="1" applyFont="1" applyFill="1" applyBorder="1" applyAlignment="1">
      <alignment horizontal="center" vertical="center"/>
    </xf>
    <xf numFmtId="168" fontId="8" fillId="4" borderId="0" xfId="0" applyNumberFormat="1" applyFont="1" applyFill="1" applyBorder="1" applyAlignment="1">
      <alignment horizontal="center" vertical="center"/>
    </xf>
    <xf numFmtId="165" fontId="8" fillId="4" borderId="0" xfId="0" applyNumberFormat="1" applyFont="1" applyFill="1" applyBorder="1" applyAlignment="1">
      <alignment horizontal="center" vertical="center"/>
    </xf>
    <xf numFmtId="4" fontId="8" fillId="4" borderId="0" xfId="0" applyNumberFormat="1" applyFont="1" applyFill="1" applyBorder="1" applyAlignment="1">
      <alignment horizontal="center" vertical="center"/>
    </xf>
    <xf numFmtId="166" fontId="8" fillId="4" borderId="0" xfId="0" applyNumberFormat="1" applyFont="1" applyFill="1" applyBorder="1" applyAlignment="1">
      <alignment horizontal="center" vertical="center"/>
    </xf>
    <xf numFmtId="164" fontId="8" fillId="4" borderId="0" xfId="0" applyNumberFormat="1" applyFont="1" applyFill="1" applyBorder="1" applyAlignment="1">
      <alignment horizontal="center" vertical="center"/>
    </xf>
    <xf numFmtId="167" fontId="8" fillId="4" borderId="0" xfId="0" applyNumberFormat="1" applyFont="1" applyFill="1" applyBorder="1" applyAlignment="1">
      <alignment horizontal="center" vertical="center"/>
    </xf>
    <xf numFmtId="165" fontId="8" fillId="5" borderId="0" xfId="0" applyNumberFormat="1" applyFont="1" applyFill="1" applyBorder="1" applyAlignment="1">
      <alignment horizontal="center" vertical="center"/>
    </xf>
    <xf numFmtId="4" fontId="8" fillId="5" borderId="0" xfId="0" applyNumberFormat="1" applyFont="1" applyFill="1" applyBorder="1" applyAlignment="1">
      <alignment horizontal="center" vertical="center"/>
    </xf>
    <xf numFmtId="168" fontId="8" fillId="5" borderId="0" xfId="0" applyNumberFormat="1" applyFont="1" applyFill="1" applyBorder="1" applyAlignment="1">
      <alignment horizontal="center" vertical="center"/>
    </xf>
    <xf numFmtId="164" fontId="8" fillId="5" borderId="0" xfId="0" applyNumberFormat="1" applyFont="1" applyFill="1" applyBorder="1" applyAlignment="1">
      <alignment horizontal="center" vertical="center"/>
    </xf>
    <xf numFmtId="167" fontId="8" fillId="5" borderId="0" xfId="0" applyNumberFormat="1" applyFont="1" applyFill="1" applyBorder="1" applyAlignment="1">
      <alignment horizontal="center" vertical="center"/>
    </xf>
    <xf numFmtId="0" fontId="8" fillId="5" borderId="0" xfId="0" applyFont="1" applyFill="1" applyBorder="1" applyAlignment="1">
      <alignment horizontal="center" vertical="center"/>
    </xf>
    <xf numFmtId="0" fontId="0" fillId="5" borderId="0" xfId="0" applyFill="1"/>
    <xf numFmtId="0" fontId="11" fillId="5" borderId="0" xfId="0" applyFont="1" applyFill="1"/>
    <xf numFmtId="0" fontId="7" fillId="5" borderId="0" xfId="0" applyFont="1" applyFill="1"/>
    <xf numFmtId="0" fontId="12" fillId="5" borderId="0" xfId="0" applyFont="1" applyFill="1"/>
    <xf numFmtId="0" fontId="13" fillId="5" borderId="0" xfId="0" applyFont="1" applyFill="1"/>
    <xf numFmtId="0" fontId="7" fillId="5" borderId="0" xfId="0" applyFont="1" applyFill="1" applyAlignment="1">
      <alignment horizontal="left"/>
    </xf>
    <xf numFmtId="165" fontId="7" fillId="5" borderId="0" xfId="0" applyNumberFormat="1" applyFont="1" applyFill="1"/>
    <xf numFmtId="0" fontId="0" fillId="5" borderId="0" xfId="0" applyFill="1" applyAlignment="1">
      <alignment horizontal="left"/>
    </xf>
    <xf numFmtId="165" fontId="0" fillId="5" borderId="0" xfId="0" applyNumberFormat="1" applyFill="1"/>
    <xf numFmtId="0" fontId="14" fillId="5" borderId="0" xfId="0" applyFont="1" applyFill="1"/>
    <xf numFmtId="0" fontId="15" fillId="5" borderId="0" xfId="0" applyFont="1" applyFill="1"/>
    <xf numFmtId="0" fontId="0" fillId="5" borderId="0" xfId="0" applyFill="1" applyAlignment="1">
      <alignment wrapText="1"/>
    </xf>
  </cellXfs>
  <cellStyles count="3">
    <cellStyle name="Normal" xfId="0" builtinId="0"/>
    <cellStyle name="Normal 2" xfId="1" xr:uid="{4D20FFFA-D844-4F1E-8567-5118C44B49F3}"/>
    <cellStyle name="Normal 3" xfId="2" xr:uid="{6B8B55D6-05BF-4657-A52C-1890F38025DE}"/>
  </cellStyles>
  <dxfs count="146">
    <dxf>
      <numFmt numFmtId="168" formatCode="[$₱-3409]#,##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68" formatCode="[$₱-3409]#,##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numFmt numFmtId="167" formatCode="#,##0.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165" formatCode="0.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164" formatCode="&quot;$&quot;#,##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168" formatCode="[$₱-3409]#,##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165" formatCode="0.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4" formatCode="#,##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4" formatCode="#,##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4" formatCode="#,##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4" formatCode="#,##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numFmt numFmtId="165" formatCode="0.000"/>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4"/>
        </top>
        <bottom/>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Aptos"/>
        <family val="2"/>
        <scheme val="none"/>
      </font>
      <numFmt numFmtId="168" formatCode="[$₱-3409]#,##0.0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Aptos"/>
        <family val="2"/>
        <scheme val="none"/>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Aptos"/>
        <family val="2"/>
        <scheme val="none"/>
      </font>
      <alignment horizontal="center" vertical="center" textRotation="0" wrapText="0" indent="0" justifyLastLine="0" shrinkToFit="0" readingOrder="0"/>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12"/>
      </font>
    </dxf>
    <dxf>
      <font>
        <sz val="12"/>
      </font>
    </dxf>
    <dxf>
      <font>
        <sz val="12"/>
      </font>
    </dxf>
    <dxf>
      <font>
        <sz val="12"/>
      </font>
    </dxf>
    <dxf>
      <font>
        <sz val="12"/>
      </font>
    </dxf>
    <dxf>
      <font>
        <sz val="12"/>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00"/>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ill>
        <patternFill patternType="solid">
          <bgColor theme="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color theme="1"/>
      </font>
      <border>
        <bottom style="thin">
          <color theme="8"/>
        </bottom>
        <vertical/>
        <horizontal/>
      </border>
    </dxf>
    <dxf>
      <font>
        <color theme="1"/>
      </font>
      <fill>
        <patternFill patternType="solid">
          <bgColor theme="0" tint="-4.9989318521683403E-2"/>
        </patternFill>
      </fill>
      <border diagonalUp="0" diagonalDown="0">
        <left/>
        <right/>
        <top/>
        <bottom/>
        <vertical/>
        <horizontal/>
      </border>
    </dxf>
    <dxf>
      <font>
        <b/>
        <color theme="1"/>
      </font>
      <border>
        <bottom style="thin">
          <color theme="5"/>
        </bottom>
        <vertical/>
        <horizontal/>
      </border>
    </dxf>
    <dxf>
      <font>
        <sz val="10"/>
        <color theme="1"/>
      </font>
      <fill>
        <patternFill patternType="solid">
          <bgColor theme="5" tint="0.79998168889431442"/>
        </patternFill>
      </fill>
      <border diagonalUp="0" diagonalDown="0">
        <left/>
        <right/>
        <top/>
        <bottom/>
        <vertical/>
        <horizontal/>
      </border>
    </dxf>
  </dxfs>
  <tableStyles count="2" defaultTableStyle="TableStyleMedium2" defaultPivotStyle="PivotStyleLight16">
    <tableStyle name="SlicerStyleLight2 2" pivot="0" table="0" count="10" xr9:uid="{639BE9CA-8DC1-4753-B381-731908C2FFCA}">
      <tableStyleElement type="wholeTable" dxfId="145"/>
      <tableStyleElement type="headerRow" dxfId="144"/>
    </tableStyle>
    <tableStyle name="year" pivot="0" table="0" count="10" xr9:uid="{E4C81A50-FD3E-4737-AC91-BCB984E5F65E}">
      <tableStyleElement type="wholeTable" dxfId="143"/>
      <tableStyleElement type="headerRow" dxfId="142"/>
    </tableStyle>
  </tableStyles>
  <colors>
    <mruColors>
      <color rgb="FFE7D9D1"/>
      <color rgb="FFBEEBEE"/>
      <color rgb="FF9DDCE7"/>
      <color rgb="FF9BCCE7"/>
      <color rgb="FFBC94EC"/>
      <color rgb="FFCECE1C"/>
      <color rgb="FFEEE572"/>
      <color rgb="FFFF3300"/>
      <color rgb="FF512507"/>
      <color rgb="FFD6C0B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8" tint="0.59996337778862885"/>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8" tint="0.59996337778862885"/>
              <bgColor theme="8"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DDCE7"/>
              <bgColor rgb="FFBEEBE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512507"/>
          </font>
          <fill>
            <patternFill patternType="solid">
              <fgColor theme="5"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[36th-NSM-Excell-Dashboard-Arnobit.xlsx]Pivot Tables!PivotTable2</c:name>
    <c:fmtId val="81"/>
  </c:pivotSource>
  <c:chart>
    <c:autoTitleDeleted val="1"/>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4"/>
            </a:solidFill>
            <a:ln>
              <a:noFill/>
            </a:ln>
            <a:effectLst/>
          </c:spPr>
        </c:marker>
        <c:dLbl>
          <c:idx val="0"/>
          <c:delete val="1"/>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pPr>
            <a:solidFill>
              <a:schemeClr val="accent1"/>
            </a:solidFill>
            <a:ln>
              <a:noFill/>
            </a:ln>
            <a:effectLst/>
          </c:spPr>
        </c:marker>
        <c:dLbl>
          <c:idx val="0"/>
          <c:delete val="1"/>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5"/>
            </a:solidFill>
            <a:ln>
              <a:noFill/>
            </a:ln>
            <a:effectLst/>
          </c:spPr>
        </c:marker>
        <c:dLbl>
          <c:idx val="0"/>
          <c:delete val="1"/>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6"/>
            </a:solidFill>
            <a:ln>
              <a:noFill/>
            </a:ln>
            <a:effectLst/>
          </c:spPr>
        </c:marker>
        <c:dLbl>
          <c:idx val="0"/>
          <c:delete val="1"/>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8"/>
          <c:spPr>
            <a:solidFill>
              <a:schemeClr val="accent1">
                <a:lumMod val="60000"/>
              </a:schemeClr>
            </a:solidFill>
            <a:ln>
              <a:noFill/>
            </a:ln>
            <a:effectLst/>
          </c:spPr>
        </c:marker>
        <c:dLbl>
          <c:idx val="0"/>
          <c:delete val="1"/>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circle"/>
          <c:size val="8"/>
          <c:spPr>
            <a:solidFill>
              <a:schemeClr val="accent2">
                <a:lumMod val="60000"/>
              </a:schemeClr>
            </a:solidFill>
            <a:ln>
              <a:noFill/>
            </a:ln>
            <a:effectLst/>
          </c:spPr>
        </c:marker>
        <c:dLbl>
          <c:idx val="0"/>
          <c:delete val="1"/>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circle"/>
          <c:size val="8"/>
          <c:spPr>
            <a:solidFill>
              <a:schemeClr val="accent3">
                <a:lumMod val="60000"/>
              </a:schemeClr>
            </a:solidFill>
            <a:ln>
              <a:noFill/>
            </a:ln>
            <a:effectLst/>
          </c:spPr>
        </c:marker>
        <c:dLbl>
          <c:idx val="0"/>
          <c:delete val="1"/>
          <c:extLst>
            <c:ext xmlns:c15="http://schemas.microsoft.com/office/drawing/2012/chart" uri="{CE6537A1-D6FC-4f65-9D91-7224C49458BB}"/>
          </c:extLst>
        </c:dLbl>
      </c:pivotFmt>
      <c:pivotFmt>
        <c:idx val="10"/>
        <c:spPr>
          <a:solidFill>
            <a:schemeClr val="accent1"/>
          </a:solidFill>
          <a:ln w="38100" cap="rnd">
            <a:solidFill>
              <a:schemeClr val="accent1"/>
            </a:solidFill>
            <a:round/>
          </a:ln>
          <a:effectLst/>
        </c:spPr>
        <c:marker>
          <c:symbol val="circle"/>
          <c:size val="8"/>
          <c:spPr>
            <a:solidFill>
              <a:schemeClr val="accent4">
                <a:lumMod val="60000"/>
              </a:schemeClr>
            </a:solidFill>
            <a:ln>
              <a:noFill/>
            </a:ln>
            <a:effectLst/>
          </c:spPr>
        </c:marker>
        <c:dLbl>
          <c:idx val="0"/>
          <c:delete val="1"/>
          <c:extLst>
            <c:ext xmlns:c15="http://schemas.microsoft.com/office/drawing/2012/chart" uri="{CE6537A1-D6FC-4f65-9D91-7224C49458BB}"/>
          </c:extLst>
        </c:dLbl>
      </c:pivotFmt>
      <c:pivotFmt>
        <c:idx val="11"/>
        <c:spPr>
          <a:solidFill>
            <a:schemeClr val="accent1"/>
          </a:solidFill>
          <a:ln w="38100" cap="rnd">
            <a:solidFill>
              <a:schemeClr val="accent1"/>
            </a:solidFill>
            <a:round/>
          </a:ln>
          <a:effectLst/>
        </c:spPr>
        <c:marker>
          <c:symbol val="circle"/>
          <c:size val="8"/>
          <c:spPr>
            <a:solidFill>
              <a:schemeClr val="accent5">
                <a:lumMod val="60000"/>
              </a:schemeClr>
            </a:solidFill>
            <a:ln>
              <a:noFill/>
            </a:ln>
            <a:effectLst/>
          </c:spPr>
        </c:marker>
        <c:dLbl>
          <c:idx val="0"/>
          <c:delete val="1"/>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ymbol val="circle"/>
          <c:size val="8"/>
          <c:spPr>
            <a:solidFill>
              <a:schemeClr val="accent6">
                <a:lumMod val="60000"/>
              </a:schemeClr>
            </a:solidFill>
            <a:ln>
              <a:noFill/>
            </a:ln>
            <a:effectLst/>
          </c:spPr>
        </c:marker>
        <c:dLbl>
          <c:idx val="0"/>
          <c:delete val="1"/>
          <c:extLst>
            <c:ext xmlns:c15="http://schemas.microsoft.com/office/drawing/2012/chart" uri="{CE6537A1-D6FC-4f65-9D91-7224C49458BB}"/>
          </c:extLst>
        </c:dLbl>
      </c:pivotFmt>
      <c:pivotFmt>
        <c:idx val="13"/>
        <c:spPr>
          <a:solidFill>
            <a:schemeClr val="accent1"/>
          </a:solidFill>
          <a:ln w="38100" cap="rnd">
            <a:solidFill>
              <a:schemeClr val="accent1"/>
            </a:solidFill>
            <a:round/>
          </a:ln>
          <a:effectLst/>
        </c:spPr>
        <c:marker>
          <c:symbol val="circle"/>
          <c:size val="8"/>
          <c:spPr>
            <a:solidFill>
              <a:schemeClr val="accent1">
                <a:lumMod val="80000"/>
                <a:lumOff val="20000"/>
              </a:schemeClr>
            </a:solidFill>
            <a:ln>
              <a:noFill/>
            </a:ln>
            <a:effectLst/>
          </c:spPr>
        </c:marker>
        <c:dLbl>
          <c:idx val="0"/>
          <c:delete val="1"/>
          <c:extLst>
            <c:ext xmlns:c15="http://schemas.microsoft.com/office/drawing/2012/chart" uri="{CE6537A1-D6FC-4f65-9D91-7224C49458BB}"/>
          </c:extLst>
        </c:dLbl>
      </c:pivotFmt>
      <c:pivotFmt>
        <c:idx val="14"/>
        <c:spPr>
          <a:solidFill>
            <a:schemeClr val="accent1"/>
          </a:solidFill>
          <a:ln w="38100" cap="rnd">
            <a:solidFill>
              <a:schemeClr val="accent1"/>
            </a:solidFill>
            <a:round/>
          </a:ln>
          <a:effectLst/>
        </c:spPr>
        <c:marker>
          <c:symbol val="circle"/>
          <c:size val="8"/>
          <c:spPr>
            <a:solidFill>
              <a:schemeClr val="accent2">
                <a:lumMod val="80000"/>
                <a:lumOff val="20000"/>
              </a:schemeClr>
            </a:solidFill>
            <a:ln>
              <a:noFill/>
            </a:ln>
            <a:effectLst/>
          </c:spPr>
        </c:marker>
        <c:dLbl>
          <c:idx val="0"/>
          <c:delete val="1"/>
          <c:extLst>
            <c:ext xmlns:c15="http://schemas.microsoft.com/office/drawing/2012/chart" uri="{CE6537A1-D6FC-4f65-9D91-7224C49458BB}"/>
          </c:extLst>
        </c:dLbl>
      </c:pivotFmt>
      <c:pivotFmt>
        <c:idx val="15"/>
        <c:spPr>
          <a:solidFill>
            <a:schemeClr val="accent1"/>
          </a:solidFill>
          <a:ln w="38100" cap="rnd">
            <a:solidFill>
              <a:schemeClr val="accent1"/>
            </a:solidFill>
            <a:round/>
          </a:ln>
          <a:effectLst/>
        </c:spPr>
        <c:marker>
          <c:symbol val="circle"/>
          <c:size val="8"/>
          <c:spPr>
            <a:solidFill>
              <a:schemeClr val="accent3">
                <a:lumMod val="80000"/>
                <a:lumOff val="20000"/>
              </a:schemeClr>
            </a:solidFill>
            <a:ln>
              <a:noFill/>
            </a:ln>
            <a:effectLst/>
          </c:spPr>
        </c:marker>
        <c:dLbl>
          <c:idx val="0"/>
          <c:delete val="1"/>
          <c:extLst>
            <c:ext xmlns:c15="http://schemas.microsoft.com/office/drawing/2012/chart" uri="{CE6537A1-D6FC-4f65-9D91-7224C49458BB}"/>
          </c:extLst>
        </c:dLbl>
      </c:pivotFmt>
      <c:pivotFmt>
        <c:idx val="16"/>
        <c:spPr>
          <a:solidFill>
            <a:schemeClr val="accent1"/>
          </a:solidFill>
          <a:ln w="38100" cap="rnd">
            <a:solidFill>
              <a:schemeClr val="accent1"/>
            </a:solidFill>
            <a:round/>
          </a:ln>
          <a:effectLst/>
        </c:spPr>
        <c:marker>
          <c:symbol val="circle"/>
          <c:size val="8"/>
          <c:spPr>
            <a:solidFill>
              <a:schemeClr val="accent4">
                <a:lumMod val="80000"/>
                <a:lumOff val="20000"/>
              </a:schemeClr>
            </a:solidFill>
            <a:ln>
              <a:noFill/>
            </a:ln>
            <a:effectLst/>
          </c:spPr>
        </c:marker>
        <c:dLbl>
          <c:idx val="0"/>
          <c:delete val="1"/>
          <c:extLst>
            <c:ext xmlns:c15="http://schemas.microsoft.com/office/drawing/2012/chart" uri="{CE6537A1-D6FC-4f65-9D91-7224C49458BB}"/>
          </c:extLst>
        </c:dLbl>
      </c:pivotFmt>
      <c:pivotFmt>
        <c:idx val="17"/>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8"/>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19"/>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20"/>
        <c:spPr>
          <a:solidFill>
            <a:schemeClr val="accent1"/>
          </a:solidFill>
          <a:ln w="38100" cap="rnd">
            <a:solidFill>
              <a:schemeClr val="accent1"/>
            </a:solidFill>
            <a:round/>
          </a:ln>
          <a:effectLst/>
        </c:spPr>
        <c:marker>
          <c:symbol val="circle"/>
          <c:size val="8"/>
          <c:spPr>
            <a:solidFill>
              <a:schemeClr val="accent4"/>
            </a:solidFill>
            <a:ln>
              <a:noFill/>
            </a:ln>
            <a:effectLst/>
          </c:spPr>
        </c:marker>
        <c:dLbl>
          <c:idx val="0"/>
          <c:delete val="1"/>
          <c:extLst>
            <c:ext xmlns:c15="http://schemas.microsoft.com/office/drawing/2012/chart" uri="{CE6537A1-D6FC-4f65-9D91-7224C49458BB}"/>
          </c:extLst>
        </c:dLbl>
      </c:pivotFmt>
      <c:pivotFmt>
        <c:idx val="21"/>
        <c:spPr>
          <a:solidFill>
            <a:schemeClr val="accent1"/>
          </a:solidFill>
          <a:ln w="38100" cap="rnd">
            <a:solidFill>
              <a:schemeClr val="accent1"/>
            </a:solidFill>
            <a:round/>
          </a:ln>
          <a:effectLst/>
        </c:spPr>
        <c:marker>
          <c:symbol val="circle"/>
          <c:size val="8"/>
          <c:spPr>
            <a:solidFill>
              <a:schemeClr val="accent5"/>
            </a:solidFill>
            <a:ln>
              <a:noFill/>
            </a:ln>
            <a:effectLst/>
          </c:spPr>
        </c:marker>
        <c:dLbl>
          <c:idx val="0"/>
          <c:delete val="1"/>
          <c:extLst>
            <c:ext xmlns:c15="http://schemas.microsoft.com/office/drawing/2012/chart" uri="{CE6537A1-D6FC-4f65-9D91-7224C49458BB}"/>
          </c:extLst>
        </c:dLbl>
      </c:pivotFmt>
      <c:pivotFmt>
        <c:idx val="22"/>
        <c:spPr>
          <a:solidFill>
            <a:schemeClr val="accent1"/>
          </a:solidFill>
          <a:ln w="38100" cap="rnd">
            <a:solidFill>
              <a:schemeClr val="accent1"/>
            </a:solidFill>
            <a:round/>
          </a:ln>
          <a:effectLst/>
        </c:spPr>
        <c:marker>
          <c:symbol val="circle"/>
          <c:size val="8"/>
          <c:spPr>
            <a:solidFill>
              <a:schemeClr val="accent6"/>
            </a:solidFill>
            <a:ln>
              <a:noFill/>
            </a:ln>
            <a:effectLst/>
          </c:spPr>
        </c:marker>
        <c:dLbl>
          <c:idx val="0"/>
          <c:delete val="1"/>
          <c:extLst>
            <c:ext xmlns:c15="http://schemas.microsoft.com/office/drawing/2012/chart" uri="{CE6537A1-D6FC-4f65-9D91-7224C49458BB}"/>
          </c:extLst>
        </c:dLbl>
      </c:pivotFmt>
      <c:pivotFmt>
        <c:idx val="23"/>
        <c:spPr>
          <a:solidFill>
            <a:schemeClr val="accent1"/>
          </a:solidFill>
          <a:ln w="38100" cap="rnd">
            <a:solidFill>
              <a:schemeClr val="accent1"/>
            </a:solidFill>
            <a:round/>
          </a:ln>
          <a:effectLst/>
        </c:spPr>
        <c:marker>
          <c:symbol val="circle"/>
          <c:size val="8"/>
          <c:spPr>
            <a:solidFill>
              <a:schemeClr val="accent1">
                <a:lumMod val="60000"/>
              </a:schemeClr>
            </a:solidFill>
            <a:ln>
              <a:noFill/>
            </a:ln>
            <a:effectLst/>
          </c:spPr>
        </c:marker>
        <c:dLbl>
          <c:idx val="0"/>
          <c:delete val="1"/>
          <c:extLst>
            <c:ext xmlns:c15="http://schemas.microsoft.com/office/drawing/2012/chart" uri="{CE6537A1-D6FC-4f65-9D91-7224C49458BB}"/>
          </c:extLst>
        </c:dLbl>
      </c:pivotFmt>
      <c:pivotFmt>
        <c:idx val="24"/>
        <c:spPr>
          <a:solidFill>
            <a:schemeClr val="accent1"/>
          </a:solidFill>
          <a:ln w="38100" cap="rnd">
            <a:solidFill>
              <a:schemeClr val="accent1"/>
            </a:solidFill>
            <a:round/>
          </a:ln>
          <a:effectLst/>
        </c:spPr>
        <c:marker>
          <c:symbol val="circle"/>
          <c:size val="8"/>
          <c:spPr>
            <a:solidFill>
              <a:schemeClr val="accent2">
                <a:lumMod val="60000"/>
              </a:schemeClr>
            </a:solidFill>
            <a:ln>
              <a:noFill/>
            </a:ln>
            <a:effectLst/>
          </c:spPr>
        </c:marker>
        <c:dLbl>
          <c:idx val="0"/>
          <c:delete val="1"/>
          <c:extLst>
            <c:ext xmlns:c15="http://schemas.microsoft.com/office/drawing/2012/chart" uri="{CE6537A1-D6FC-4f65-9D91-7224C49458BB}"/>
          </c:extLst>
        </c:dLbl>
      </c:pivotFmt>
      <c:pivotFmt>
        <c:idx val="25"/>
        <c:spPr>
          <a:solidFill>
            <a:schemeClr val="accent1"/>
          </a:solidFill>
          <a:ln w="38100" cap="rnd">
            <a:solidFill>
              <a:schemeClr val="accent1"/>
            </a:solidFill>
            <a:round/>
          </a:ln>
          <a:effectLst/>
        </c:spPr>
        <c:marker>
          <c:symbol val="circle"/>
          <c:size val="8"/>
          <c:spPr>
            <a:solidFill>
              <a:schemeClr val="accent3">
                <a:lumMod val="60000"/>
              </a:schemeClr>
            </a:solidFill>
            <a:ln>
              <a:noFill/>
            </a:ln>
            <a:effectLst/>
          </c:spPr>
        </c:marker>
        <c:dLbl>
          <c:idx val="0"/>
          <c:delete val="1"/>
          <c:extLst>
            <c:ext xmlns:c15="http://schemas.microsoft.com/office/drawing/2012/chart" uri="{CE6537A1-D6FC-4f65-9D91-7224C49458BB}"/>
          </c:extLst>
        </c:dLbl>
      </c:pivotFmt>
      <c:pivotFmt>
        <c:idx val="26"/>
        <c:spPr>
          <a:solidFill>
            <a:schemeClr val="accent1"/>
          </a:solidFill>
          <a:ln w="38100" cap="rnd">
            <a:solidFill>
              <a:schemeClr val="accent1"/>
            </a:solidFill>
            <a:round/>
          </a:ln>
          <a:effectLst/>
        </c:spPr>
        <c:marker>
          <c:symbol val="circle"/>
          <c:size val="8"/>
          <c:spPr>
            <a:solidFill>
              <a:schemeClr val="accent4">
                <a:lumMod val="60000"/>
              </a:schemeClr>
            </a:solidFill>
            <a:ln>
              <a:noFill/>
            </a:ln>
            <a:effectLst/>
          </c:spPr>
        </c:marker>
        <c:dLbl>
          <c:idx val="0"/>
          <c:delete val="1"/>
          <c:extLst>
            <c:ext xmlns:c15="http://schemas.microsoft.com/office/drawing/2012/chart" uri="{CE6537A1-D6FC-4f65-9D91-7224C49458BB}"/>
          </c:extLst>
        </c:dLbl>
      </c:pivotFmt>
      <c:pivotFmt>
        <c:idx val="27"/>
        <c:spPr>
          <a:solidFill>
            <a:schemeClr val="accent1"/>
          </a:solidFill>
          <a:ln w="38100" cap="rnd">
            <a:solidFill>
              <a:schemeClr val="accent1"/>
            </a:solidFill>
            <a:round/>
          </a:ln>
          <a:effectLst/>
        </c:spPr>
        <c:marker>
          <c:symbol val="circle"/>
          <c:size val="8"/>
          <c:spPr>
            <a:solidFill>
              <a:schemeClr val="accent5">
                <a:lumMod val="60000"/>
              </a:schemeClr>
            </a:solidFill>
            <a:ln>
              <a:noFill/>
            </a:ln>
            <a:effectLst/>
          </c:spPr>
        </c:marker>
        <c:dLbl>
          <c:idx val="0"/>
          <c:delete val="1"/>
          <c:extLst>
            <c:ext xmlns:c15="http://schemas.microsoft.com/office/drawing/2012/chart" uri="{CE6537A1-D6FC-4f65-9D91-7224C49458BB}"/>
          </c:extLst>
        </c:dLbl>
      </c:pivotFmt>
      <c:pivotFmt>
        <c:idx val="28"/>
        <c:spPr>
          <a:solidFill>
            <a:schemeClr val="accent1"/>
          </a:solidFill>
          <a:ln w="38100" cap="rnd">
            <a:solidFill>
              <a:schemeClr val="accent1"/>
            </a:solidFill>
            <a:round/>
          </a:ln>
          <a:effectLst/>
        </c:spPr>
        <c:marker>
          <c:symbol val="circle"/>
          <c:size val="8"/>
          <c:spPr>
            <a:solidFill>
              <a:schemeClr val="accent6">
                <a:lumMod val="60000"/>
              </a:schemeClr>
            </a:solidFill>
            <a:ln>
              <a:noFill/>
            </a:ln>
            <a:effectLst/>
          </c:spPr>
        </c:marker>
        <c:dLbl>
          <c:idx val="0"/>
          <c:delete val="1"/>
          <c:extLst>
            <c:ext xmlns:c15="http://schemas.microsoft.com/office/drawing/2012/chart" uri="{CE6537A1-D6FC-4f65-9D91-7224C49458BB}"/>
          </c:extLst>
        </c:dLbl>
      </c:pivotFmt>
      <c:pivotFmt>
        <c:idx val="29"/>
        <c:spPr>
          <a:solidFill>
            <a:schemeClr val="accent1"/>
          </a:solidFill>
          <a:ln w="38100" cap="rnd">
            <a:solidFill>
              <a:schemeClr val="accent1"/>
            </a:solidFill>
            <a:round/>
          </a:ln>
          <a:effectLst/>
        </c:spPr>
        <c:marker>
          <c:symbol val="circle"/>
          <c:size val="8"/>
          <c:spPr>
            <a:solidFill>
              <a:schemeClr val="accent1">
                <a:lumMod val="80000"/>
                <a:lumOff val="20000"/>
              </a:schemeClr>
            </a:solidFill>
            <a:ln>
              <a:noFill/>
            </a:ln>
            <a:effectLst/>
          </c:spPr>
        </c:marker>
        <c:dLbl>
          <c:idx val="0"/>
          <c:delete val="1"/>
          <c:extLst>
            <c:ext xmlns:c15="http://schemas.microsoft.com/office/drawing/2012/chart" uri="{CE6537A1-D6FC-4f65-9D91-7224C49458BB}"/>
          </c:extLst>
        </c:dLbl>
      </c:pivotFmt>
      <c:pivotFmt>
        <c:idx val="30"/>
        <c:spPr>
          <a:solidFill>
            <a:schemeClr val="accent1"/>
          </a:solidFill>
          <a:ln w="38100" cap="rnd">
            <a:solidFill>
              <a:schemeClr val="accent1"/>
            </a:solidFill>
            <a:round/>
          </a:ln>
          <a:effectLst/>
        </c:spPr>
        <c:marker>
          <c:symbol val="circle"/>
          <c:size val="8"/>
          <c:spPr>
            <a:solidFill>
              <a:schemeClr val="accent2">
                <a:lumMod val="80000"/>
                <a:lumOff val="20000"/>
              </a:schemeClr>
            </a:solidFill>
            <a:ln>
              <a:noFill/>
            </a:ln>
            <a:effectLst/>
          </c:spPr>
        </c:marker>
        <c:dLbl>
          <c:idx val="0"/>
          <c:delete val="1"/>
          <c:extLst>
            <c:ext xmlns:c15="http://schemas.microsoft.com/office/drawing/2012/chart" uri="{CE6537A1-D6FC-4f65-9D91-7224C49458BB}"/>
          </c:extLst>
        </c:dLbl>
      </c:pivotFmt>
      <c:pivotFmt>
        <c:idx val="31"/>
        <c:spPr>
          <a:solidFill>
            <a:schemeClr val="accent1"/>
          </a:solidFill>
          <a:ln w="38100" cap="rnd">
            <a:solidFill>
              <a:schemeClr val="accent1"/>
            </a:solidFill>
            <a:round/>
          </a:ln>
          <a:effectLst/>
        </c:spPr>
        <c:marker>
          <c:symbol val="circle"/>
          <c:size val="8"/>
          <c:spPr>
            <a:solidFill>
              <a:schemeClr val="accent3">
                <a:lumMod val="80000"/>
                <a:lumOff val="20000"/>
              </a:schemeClr>
            </a:solidFill>
            <a:ln>
              <a:noFill/>
            </a:ln>
            <a:effectLst/>
          </c:spPr>
        </c:marker>
        <c:dLbl>
          <c:idx val="0"/>
          <c:delete val="1"/>
          <c:extLst>
            <c:ext xmlns:c15="http://schemas.microsoft.com/office/drawing/2012/chart" uri="{CE6537A1-D6FC-4f65-9D91-7224C49458BB}"/>
          </c:extLst>
        </c:dLbl>
      </c:pivotFmt>
      <c:pivotFmt>
        <c:idx val="32"/>
        <c:spPr>
          <a:solidFill>
            <a:schemeClr val="accent1"/>
          </a:solidFill>
          <a:ln w="38100" cap="rnd">
            <a:solidFill>
              <a:schemeClr val="accent1"/>
            </a:solidFill>
            <a:round/>
          </a:ln>
          <a:effectLst/>
        </c:spPr>
        <c:marker>
          <c:symbol val="circle"/>
          <c:size val="8"/>
          <c:spPr>
            <a:solidFill>
              <a:schemeClr val="accent4">
                <a:lumMod val="80000"/>
                <a:lumOff val="20000"/>
              </a:schemeClr>
            </a:solidFill>
            <a:ln>
              <a:noFill/>
            </a:ln>
            <a:effectLst/>
          </c:spPr>
        </c:marker>
        <c:dLbl>
          <c:idx val="0"/>
          <c:delete val="1"/>
          <c:extLst>
            <c:ext xmlns:c15="http://schemas.microsoft.com/office/drawing/2012/chart" uri="{CE6537A1-D6FC-4f65-9D91-7224C49458BB}"/>
          </c:extLst>
        </c:dLbl>
      </c:pivotFmt>
      <c:pivotFmt>
        <c:idx val="33"/>
        <c:spPr>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34"/>
        <c:spPr>
          <a:ln w="38100" cap="rnd">
            <a:solidFill>
              <a:schemeClr val="accent2"/>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35"/>
        <c:spPr>
          <a:ln w="38100" cap="rnd">
            <a:solidFill>
              <a:schemeClr val="accent3"/>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36"/>
        <c:spPr>
          <a:ln w="38100">
            <a:solidFill>
              <a:schemeClr val="accent1"/>
            </a:solidFill>
          </a:ln>
          <a:effectLst/>
        </c:spPr>
        <c:marker>
          <c:symbol val="circle"/>
          <c:size val="8"/>
          <c:spPr>
            <a:solidFill>
              <a:schemeClr val="accent1">
                <a:lumMod val="75000"/>
              </a:schemeClr>
            </a:solidFill>
            <a:ln>
              <a:noFill/>
            </a:ln>
            <a:effectLst/>
          </c:spPr>
        </c:marker>
        <c:dLbl>
          <c:idx val="0"/>
          <c:delete val="1"/>
          <c:extLst>
            <c:ext xmlns:c15="http://schemas.microsoft.com/office/drawing/2012/chart" uri="{CE6537A1-D6FC-4f65-9D91-7224C49458BB}"/>
          </c:extLst>
        </c:dLbl>
      </c:pivotFmt>
      <c:pivotFmt>
        <c:idx val="37"/>
        <c:spPr>
          <a:ln w="38100" cap="rnd">
            <a:solidFill>
              <a:schemeClr val="accent5"/>
            </a:solidFill>
            <a:round/>
          </a:ln>
          <a:effectLst/>
        </c:spPr>
        <c:marker>
          <c:symbol val="circle"/>
          <c:size val="8"/>
          <c:spPr>
            <a:solidFill>
              <a:schemeClr val="accent5"/>
            </a:solidFill>
            <a:ln>
              <a:noFill/>
            </a:ln>
            <a:effectLst/>
          </c:spPr>
        </c:marker>
        <c:dLbl>
          <c:idx val="0"/>
          <c:delete val="1"/>
          <c:extLst>
            <c:ext xmlns:c15="http://schemas.microsoft.com/office/drawing/2012/chart" uri="{CE6537A1-D6FC-4f65-9D91-7224C49458BB}"/>
          </c:extLst>
        </c:dLbl>
      </c:pivotFmt>
      <c:pivotFmt>
        <c:idx val="38"/>
        <c:spPr>
          <a:ln w="38100" cap="rnd">
            <a:solidFill>
              <a:schemeClr val="accent6"/>
            </a:solidFill>
            <a:round/>
          </a:ln>
          <a:effectLst/>
        </c:spPr>
        <c:marker>
          <c:symbol val="circle"/>
          <c:size val="8"/>
          <c:spPr>
            <a:solidFill>
              <a:schemeClr val="accent6"/>
            </a:solidFill>
            <a:ln>
              <a:noFill/>
            </a:ln>
            <a:effectLst/>
          </c:spPr>
        </c:marker>
        <c:dLbl>
          <c:idx val="0"/>
          <c:delete val="1"/>
          <c:extLst>
            <c:ext xmlns:c15="http://schemas.microsoft.com/office/drawing/2012/chart" uri="{CE6537A1-D6FC-4f65-9D91-7224C49458BB}"/>
          </c:extLst>
        </c:dLbl>
      </c:pivotFmt>
      <c:pivotFmt>
        <c:idx val="39"/>
        <c:spPr>
          <a:ln w="38100" cap="rnd">
            <a:solidFill>
              <a:schemeClr val="accent1">
                <a:lumMod val="60000"/>
              </a:schemeClr>
            </a:solidFill>
            <a:round/>
          </a:ln>
          <a:effectLst/>
        </c:spPr>
        <c:marker>
          <c:symbol val="circle"/>
          <c:size val="8"/>
          <c:spPr>
            <a:solidFill>
              <a:schemeClr val="accent1">
                <a:lumMod val="60000"/>
              </a:schemeClr>
            </a:solidFill>
            <a:ln>
              <a:noFill/>
            </a:ln>
            <a:effectLst/>
          </c:spPr>
        </c:marker>
        <c:dLbl>
          <c:idx val="0"/>
          <c:delete val="1"/>
          <c:extLst>
            <c:ext xmlns:c15="http://schemas.microsoft.com/office/drawing/2012/chart" uri="{CE6537A1-D6FC-4f65-9D91-7224C49458BB}"/>
          </c:extLst>
        </c:dLbl>
      </c:pivotFmt>
      <c:pivotFmt>
        <c:idx val="40"/>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dLbl>
          <c:idx val="0"/>
          <c:delete val="1"/>
          <c:extLst>
            <c:ext xmlns:c15="http://schemas.microsoft.com/office/drawing/2012/chart" uri="{CE6537A1-D6FC-4f65-9D91-7224C49458BB}"/>
          </c:extLst>
        </c:dLbl>
      </c:pivotFmt>
      <c:pivotFmt>
        <c:idx val="41"/>
        <c:spPr>
          <a:ln w="38100" cap="rnd">
            <a:solidFill>
              <a:schemeClr val="accent3">
                <a:lumMod val="60000"/>
              </a:schemeClr>
            </a:solidFill>
            <a:round/>
          </a:ln>
          <a:effectLst/>
        </c:spPr>
        <c:marker>
          <c:symbol val="circle"/>
          <c:size val="8"/>
          <c:spPr>
            <a:solidFill>
              <a:schemeClr val="accent3">
                <a:lumMod val="60000"/>
              </a:schemeClr>
            </a:solidFill>
            <a:ln>
              <a:noFill/>
            </a:ln>
            <a:effectLst/>
          </c:spPr>
        </c:marker>
        <c:dLbl>
          <c:idx val="0"/>
          <c:delete val="1"/>
          <c:extLst>
            <c:ext xmlns:c15="http://schemas.microsoft.com/office/drawing/2012/chart" uri="{CE6537A1-D6FC-4f65-9D91-7224C49458BB}"/>
          </c:extLst>
        </c:dLbl>
      </c:pivotFmt>
      <c:pivotFmt>
        <c:idx val="42"/>
        <c:spPr>
          <a:ln w="38100" cap="rnd">
            <a:solidFill>
              <a:schemeClr val="accent4">
                <a:lumMod val="60000"/>
              </a:schemeClr>
            </a:solidFill>
            <a:round/>
          </a:ln>
          <a:effectLst/>
        </c:spPr>
        <c:marker>
          <c:symbol val="circle"/>
          <c:size val="8"/>
          <c:spPr>
            <a:solidFill>
              <a:schemeClr val="accent4">
                <a:lumMod val="60000"/>
              </a:schemeClr>
            </a:solidFill>
            <a:ln>
              <a:noFill/>
            </a:ln>
            <a:effectLst/>
          </c:spPr>
        </c:marker>
        <c:dLbl>
          <c:idx val="0"/>
          <c:delete val="1"/>
          <c:extLst>
            <c:ext xmlns:c15="http://schemas.microsoft.com/office/drawing/2012/chart" uri="{CE6537A1-D6FC-4f65-9D91-7224C49458BB}"/>
          </c:extLst>
        </c:dLbl>
      </c:pivotFmt>
      <c:pivotFmt>
        <c:idx val="43"/>
        <c:spPr>
          <a:ln w="38100" cap="rnd">
            <a:solidFill>
              <a:schemeClr val="accent5">
                <a:lumMod val="60000"/>
              </a:schemeClr>
            </a:solidFill>
            <a:round/>
          </a:ln>
          <a:effectLst/>
        </c:spPr>
        <c:marker>
          <c:symbol val="circle"/>
          <c:size val="8"/>
          <c:spPr>
            <a:solidFill>
              <a:schemeClr val="accent5">
                <a:lumMod val="60000"/>
              </a:schemeClr>
            </a:solidFill>
            <a:ln>
              <a:noFill/>
            </a:ln>
            <a:effectLst/>
          </c:spPr>
        </c:marker>
        <c:dLbl>
          <c:idx val="0"/>
          <c:delete val="1"/>
          <c:extLst>
            <c:ext xmlns:c15="http://schemas.microsoft.com/office/drawing/2012/chart" uri="{CE6537A1-D6FC-4f65-9D91-7224C49458BB}"/>
          </c:extLst>
        </c:dLbl>
      </c:pivotFmt>
      <c:pivotFmt>
        <c:idx val="44"/>
        <c:spPr>
          <a:ln w="38100" cap="rnd">
            <a:solidFill>
              <a:schemeClr val="accent6">
                <a:lumMod val="60000"/>
              </a:schemeClr>
            </a:solidFill>
            <a:round/>
          </a:ln>
          <a:effectLst/>
        </c:spPr>
        <c:marker>
          <c:symbol val="circle"/>
          <c:size val="8"/>
          <c:spPr>
            <a:solidFill>
              <a:schemeClr val="accent6">
                <a:lumMod val="60000"/>
              </a:schemeClr>
            </a:solidFill>
            <a:ln>
              <a:noFill/>
            </a:ln>
            <a:effectLst/>
          </c:spPr>
        </c:marker>
        <c:dLbl>
          <c:idx val="0"/>
          <c:delete val="1"/>
          <c:extLst>
            <c:ext xmlns:c15="http://schemas.microsoft.com/office/drawing/2012/chart" uri="{CE6537A1-D6FC-4f65-9D91-7224C49458BB}"/>
          </c:extLst>
        </c:dLbl>
      </c:pivotFmt>
      <c:pivotFmt>
        <c:idx val="45"/>
        <c:spPr>
          <a:ln w="38100" cap="rnd">
            <a:solidFill>
              <a:schemeClr val="accent1">
                <a:lumMod val="80000"/>
                <a:lumOff val="20000"/>
              </a:schemeClr>
            </a:solidFill>
            <a:round/>
          </a:ln>
          <a:effectLst/>
        </c:spPr>
        <c:marker>
          <c:symbol val="circle"/>
          <c:size val="8"/>
          <c:spPr>
            <a:solidFill>
              <a:schemeClr val="accent1">
                <a:lumMod val="80000"/>
                <a:lumOff val="20000"/>
              </a:schemeClr>
            </a:solidFill>
            <a:ln>
              <a:noFill/>
            </a:ln>
            <a:effectLst/>
          </c:spPr>
        </c:marker>
        <c:dLbl>
          <c:idx val="0"/>
          <c:delete val="1"/>
          <c:extLst>
            <c:ext xmlns:c15="http://schemas.microsoft.com/office/drawing/2012/chart" uri="{CE6537A1-D6FC-4f65-9D91-7224C49458BB}"/>
          </c:extLst>
        </c:dLbl>
      </c:pivotFmt>
      <c:pivotFmt>
        <c:idx val="46"/>
        <c:spPr>
          <a:ln w="38100" cap="rnd">
            <a:solidFill>
              <a:schemeClr val="accent2">
                <a:lumMod val="80000"/>
                <a:lumOff val="20000"/>
              </a:schemeClr>
            </a:solidFill>
            <a:round/>
          </a:ln>
          <a:effectLst/>
        </c:spPr>
        <c:marker>
          <c:symbol val="circle"/>
          <c:size val="8"/>
          <c:spPr>
            <a:solidFill>
              <a:schemeClr val="accent2">
                <a:lumMod val="80000"/>
                <a:lumOff val="20000"/>
              </a:schemeClr>
            </a:solidFill>
            <a:ln>
              <a:noFill/>
            </a:ln>
            <a:effectLst/>
          </c:spPr>
        </c:marker>
        <c:dLbl>
          <c:idx val="0"/>
          <c:delete val="1"/>
          <c:extLst>
            <c:ext xmlns:c15="http://schemas.microsoft.com/office/drawing/2012/chart" uri="{CE6537A1-D6FC-4f65-9D91-7224C49458BB}"/>
          </c:extLst>
        </c:dLbl>
      </c:pivotFmt>
      <c:pivotFmt>
        <c:idx val="47"/>
        <c:spPr>
          <a:ln w="38100" cap="rnd">
            <a:solidFill>
              <a:schemeClr val="accent3">
                <a:lumMod val="80000"/>
                <a:lumOff val="20000"/>
              </a:schemeClr>
            </a:solidFill>
            <a:round/>
          </a:ln>
          <a:effectLst/>
        </c:spPr>
        <c:marker>
          <c:symbol val="circle"/>
          <c:size val="8"/>
          <c:spPr>
            <a:solidFill>
              <a:schemeClr val="accent3">
                <a:lumMod val="80000"/>
                <a:lumOff val="20000"/>
              </a:schemeClr>
            </a:solidFill>
            <a:ln>
              <a:noFill/>
            </a:ln>
            <a:effectLst/>
          </c:spPr>
        </c:marker>
        <c:dLbl>
          <c:idx val="0"/>
          <c:delete val="1"/>
          <c:extLst>
            <c:ext xmlns:c15="http://schemas.microsoft.com/office/drawing/2012/chart" uri="{CE6537A1-D6FC-4f65-9D91-7224C49458BB}"/>
          </c:extLst>
        </c:dLbl>
      </c:pivotFmt>
      <c:pivotFmt>
        <c:idx val="48"/>
        <c:spPr>
          <a:ln w="38100" cap="rnd">
            <a:solidFill>
              <a:schemeClr val="accent4">
                <a:lumMod val="80000"/>
                <a:lumOff val="20000"/>
              </a:schemeClr>
            </a:solidFill>
            <a:round/>
          </a:ln>
          <a:effectLst/>
        </c:spPr>
        <c:marker>
          <c:symbol val="circle"/>
          <c:size val="8"/>
          <c:spPr>
            <a:solidFill>
              <a:schemeClr val="accent4">
                <a:lumMod val="80000"/>
                <a:lumOff val="20000"/>
              </a:schemeClr>
            </a:solidFill>
            <a:ln>
              <a:noFill/>
            </a:ln>
            <a:effectLst/>
          </c:spPr>
        </c:marker>
        <c:dLbl>
          <c:idx val="0"/>
          <c:delete val="1"/>
          <c:extLst>
            <c:ext xmlns:c15="http://schemas.microsoft.com/office/drawing/2012/chart" uri="{CE6537A1-D6FC-4f65-9D91-7224C49458BB}"/>
          </c:extLst>
        </c:dLbl>
      </c:pivotFmt>
      <c:pivotFmt>
        <c:idx val="49"/>
        <c:spPr>
          <a:ln w="50800"/>
        </c:spPr>
        <c:marker>
          <c:symbol val="circle"/>
          <c:size val="6"/>
          <c:spPr>
            <a:solidFill>
              <a:schemeClr val="accent1">
                <a:lumMod val="50000"/>
              </a:schemeClr>
            </a:solidFill>
            <a:ln>
              <a:noFill/>
            </a:ln>
          </c:spPr>
        </c:marker>
        <c:dLbl>
          <c:idx val="0"/>
          <c:delete val="1"/>
          <c:extLst>
            <c:ext xmlns:c15="http://schemas.microsoft.com/office/drawing/2012/chart" uri="{CE6537A1-D6FC-4f65-9D91-7224C49458BB}"/>
          </c:extLst>
        </c:dLbl>
      </c:pivotFmt>
    </c:pivotFmts>
    <c:plotArea>
      <c:layout>
        <c:manualLayout>
          <c:layoutTarget val="inner"/>
          <c:xMode val="edge"/>
          <c:yMode val="edge"/>
          <c:x val="6.9613299712750015E-2"/>
          <c:y val="0.34125097773374352"/>
          <c:w val="0.91361651231148944"/>
          <c:h val="0.51312718360536058"/>
        </c:manualLayout>
      </c:layout>
      <c:lineChart>
        <c:grouping val="standard"/>
        <c:varyColors val="0"/>
        <c:ser>
          <c:idx val="0"/>
          <c:order val="0"/>
          <c:tx>
            <c:strRef>
              <c:f>'Pivot Tables'!$G$13:$G$14</c:f>
              <c:strCache>
                <c:ptCount val="1"/>
                <c:pt idx="0">
                  <c:v>ARMM</c:v>
                </c:pt>
              </c:strCache>
            </c:strRef>
          </c:tx>
          <c:spPr>
            <a:ln w="38100" cap="rnd">
              <a:solidFill>
                <a:schemeClr val="accent1"/>
              </a:solidFill>
              <a:round/>
            </a:ln>
            <a:effectLst/>
          </c:spPr>
          <c:marker>
            <c:symbol val="circle"/>
            <c:size val="8"/>
            <c:spPr>
              <a:solidFill>
                <a:schemeClr val="accent1"/>
              </a:solidFill>
              <a:ln>
                <a:noFill/>
              </a:ln>
              <a:effectLst/>
            </c:spPr>
          </c:marker>
          <c:cat>
            <c:strRef>
              <c:f>'Pivot Tables'!$F$15:$F$20</c:f>
              <c:strCache>
                <c:ptCount val="5"/>
                <c:pt idx="0">
                  <c:v>2018</c:v>
                </c:pt>
                <c:pt idx="1">
                  <c:v>2019</c:v>
                </c:pt>
                <c:pt idx="2">
                  <c:v>2020</c:v>
                </c:pt>
                <c:pt idx="3">
                  <c:v>2021</c:v>
                </c:pt>
                <c:pt idx="4">
                  <c:v>2022</c:v>
                </c:pt>
              </c:strCache>
            </c:strRef>
          </c:cat>
          <c:val>
            <c:numRef>
              <c:f>'Pivot Tables'!$G$15:$G$20</c:f>
              <c:numCache>
                <c:formatCode>0.000</c:formatCode>
                <c:ptCount val="5"/>
                <c:pt idx="0">
                  <c:v>0.59445865854215896</c:v>
                </c:pt>
                <c:pt idx="1">
                  <c:v>0.60895235317506669</c:v>
                </c:pt>
                <c:pt idx="2">
                  <c:v>0.60842271814505944</c:v>
                </c:pt>
                <c:pt idx="3">
                  <c:v>0.60606605479485565</c:v>
                </c:pt>
                <c:pt idx="4">
                  <c:v>0.62561198137959884</c:v>
                </c:pt>
              </c:numCache>
            </c:numRef>
          </c:val>
          <c:smooth val="0"/>
          <c:extLst>
            <c:ext xmlns:c16="http://schemas.microsoft.com/office/drawing/2014/chart" uri="{C3380CC4-5D6E-409C-BE32-E72D297353CC}">
              <c16:uniqueId val="{00000000-C5B0-4D57-B365-8B891CACCC64}"/>
            </c:ext>
          </c:extLst>
        </c:ser>
        <c:ser>
          <c:idx val="1"/>
          <c:order val="1"/>
          <c:tx>
            <c:strRef>
              <c:f>'Pivot Tables'!$H$13:$H$14</c:f>
              <c:strCache>
                <c:ptCount val="1"/>
                <c:pt idx="0">
                  <c:v>CAR</c:v>
                </c:pt>
              </c:strCache>
            </c:strRef>
          </c:tx>
          <c:spPr>
            <a:ln w="38100" cap="rnd">
              <a:solidFill>
                <a:schemeClr val="accent2"/>
              </a:solidFill>
              <a:round/>
            </a:ln>
            <a:effectLst/>
          </c:spPr>
          <c:marker>
            <c:symbol val="circle"/>
            <c:size val="8"/>
            <c:spPr>
              <a:solidFill>
                <a:schemeClr val="accent2"/>
              </a:solidFill>
              <a:ln>
                <a:noFill/>
              </a:ln>
              <a:effectLst/>
            </c:spPr>
          </c:marker>
          <c:cat>
            <c:strRef>
              <c:f>'Pivot Tables'!$F$15:$F$20</c:f>
              <c:strCache>
                <c:ptCount val="5"/>
                <c:pt idx="0">
                  <c:v>2018</c:v>
                </c:pt>
                <c:pt idx="1">
                  <c:v>2019</c:v>
                </c:pt>
                <c:pt idx="2">
                  <c:v>2020</c:v>
                </c:pt>
                <c:pt idx="3">
                  <c:v>2021</c:v>
                </c:pt>
                <c:pt idx="4">
                  <c:v>2022</c:v>
                </c:pt>
              </c:strCache>
            </c:strRef>
          </c:cat>
          <c:val>
            <c:numRef>
              <c:f>'Pivot Tables'!$H$15:$H$20</c:f>
              <c:numCache>
                <c:formatCode>0.000</c:formatCode>
                <c:ptCount val="5"/>
                <c:pt idx="0">
                  <c:v>0.7303097725859844</c:v>
                </c:pt>
                <c:pt idx="1">
                  <c:v>0.73934465462413901</c:v>
                </c:pt>
                <c:pt idx="2">
                  <c:v>0.73135991336850958</c:v>
                </c:pt>
                <c:pt idx="3">
                  <c:v>0.72038326163695587</c:v>
                </c:pt>
                <c:pt idx="4">
                  <c:v>0.73538267050047368</c:v>
                </c:pt>
              </c:numCache>
            </c:numRef>
          </c:val>
          <c:smooth val="0"/>
          <c:extLst>
            <c:ext xmlns:c16="http://schemas.microsoft.com/office/drawing/2014/chart" uri="{C3380CC4-5D6E-409C-BE32-E72D297353CC}">
              <c16:uniqueId val="{00000167-C8A9-470E-9877-A419A9B0D24F}"/>
            </c:ext>
          </c:extLst>
        </c:ser>
        <c:ser>
          <c:idx val="2"/>
          <c:order val="2"/>
          <c:tx>
            <c:strRef>
              <c:f>'Pivot Tables'!$I$13:$I$14</c:f>
              <c:strCache>
                <c:ptCount val="1"/>
                <c:pt idx="0">
                  <c:v>NCR</c:v>
                </c:pt>
              </c:strCache>
            </c:strRef>
          </c:tx>
          <c:spPr>
            <a:ln w="38100" cap="rnd">
              <a:solidFill>
                <a:schemeClr val="accent3"/>
              </a:solidFill>
              <a:round/>
            </a:ln>
            <a:effectLst/>
          </c:spPr>
          <c:marker>
            <c:symbol val="circle"/>
            <c:size val="8"/>
            <c:spPr>
              <a:solidFill>
                <a:schemeClr val="accent3"/>
              </a:solidFill>
              <a:ln>
                <a:noFill/>
              </a:ln>
              <a:effectLst/>
            </c:spPr>
          </c:marker>
          <c:cat>
            <c:strRef>
              <c:f>'Pivot Tables'!$F$15:$F$20</c:f>
              <c:strCache>
                <c:ptCount val="5"/>
                <c:pt idx="0">
                  <c:v>2018</c:v>
                </c:pt>
                <c:pt idx="1">
                  <c:v>2019</c:v>
                </c:pt>
                <c:pt idx="2">
                  <c:v>2020</c:v>
                </c:pt>
                <c:pt idx="3">
                  <c:v>2021</c:v>
                </c:pt>
                <c:pt idx="4">
                  <c:v>2022</c:v>
                </c:pt>
              </c:strCache>
            </c:strRef>
          </c:cat>
          <c:val>
            <c:numRef>
              <c:f>'Pivot Tables'!$I$15:$I$20</c:f>
              <c:numCache>
                <c:formatCode>0.000</c:formatCode>
                <c:ptCount val="5"/>
                <c:pt idx="0">
                  <c:v>0.76057534848889918</c:v>
                </c:pt>
                <c:pt idx="1">
                  <c:v>0.76345540124082734</c:v>
                </c:pt>
                <c:pt idx="2">
                  <c:v>0.74915628556435632</c:v>
                </c:pt>
                <c:pt idx="3">
                  <c:v>0.73164511904103913</c:v>
                </c:pt>
                <c:pt idx="4">
                  <c:v>0.74049201743674975</c:v>
                </c:pt>
              </c:numCache>
            </c:numRef>
          </c:val>
          <c:smooth val="0"/>
          <c:extLst>
            <c:ext xmlns:c16="http://schemas.microsoft.com/office/drawing/2014/chart" uri="{C3380CC4-5D6E-409C-BE32-E72D297353CC}">
              <c16:uniqueId val="{00000168-C8A9-470E-9877-A419A9B0D24F}"/>
            </c:ext>
          </c:extLst>
        </c:ser>
        <c:ser>
          <c:idx val="3"/>
          <c:order val="3"/>
          <c:tx>
            <c:strRef>
              <c:f>'Pivot Tables'!$J$13:$J$14</c:f>
              <c:strCache>
                <c:ptCount val="1"/>
                <c:pt idx="0">
                  <c:v>Region I</c:v>
                </c:pt>
              </c:strCache>
            </c:strRef>
          </c:tx>
          <c:spPr>
            <a:ln w="38100">
              <a:solidFill>
                <a:schemeClr val="accent1"/>
              </a:solidFill>
            </a:ln>
            <a:effectLst/>
          </c:spPr>
          <c:marker>
            <c:symbol val="circle"/>
            <c:size val="8"/>
            <c:spPr>
              <a:solidFill>
                <a:schemeClr val="accent1">
                  <a:lumMod val="75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Tables'!$J$15:$J$20</c:f>
              <c:numCache>
                <c:formatCode>0.000</c:formatCode>
                <c:ptCount val="5"/>
                <c:pt idx="0">
                  <c:v>0.70980604789351287</c:v>
                </c:pt>
                <c:pt idx="1">
                  <c:v>0.71608447522181984</c:v>
                </c:pt>
                <c:pt idx="2">
                  <c:v>0.70596496423072264</c:v>
                </c:pt>
                <c:pt idx="3">
                  <c:v>0.69262544022531702</c:v>
                </c:pt>
                <c:pt idx="4">
                  <c:v>0.70485958776925761</c:v>
                </c:pt>
              </c:numCache>
            </c:numRef>
          </c:val>
          <c:smooth val="0"/>
          <c:extLst>
            <c:ext xmlns:c16="http://schemas.microsoft.com/office/drawing/2014/chart" uri="{C3380CC4-5D6E-409C-BE32-E72D297353CC}">
              <c16:uniqueId val="{00000169-C8A9-470E-9877-A419A9B0D24F}"/>
            </c:ext>
          </c:extLst>
        </c:ser>
        <c:ser>
          <c:idx val="4"/>
          <c:order val="4"/>
          <c:tx>
            <c:strRef>
              <c:f>'Pivot Tables'!$K$13:$K$14</c:f>
              <c:strCache>
                <c:ptCount val="1"/>
                <c:pt idx="0">
                  <c:v>Region II</c:v>
                </c:pt>
              </c:strCache>
            </c:strRef>
          </c:tx>
          <c:spPr>
            <a:ln w="50800"/>
          </c:spPr>
          <c:marker>
            <c:symbol val="circle"/>
            <c:size val="6"/>
            <c:spPr>
              <a:solidFill>
                <a:schemeClr val="accent1">
                  <a:lumMod val="50000"/>
                </a:schemeClr>
              </a:solidFill>
              <a:ln>
                <a:noFill/>
              </a:ln>
            </c:spPr>
          </c:marker>
          <c:cat>
            <c:strRef>
              <c:f>'Pivot Tables'!$F$15:$F$20</c:f>
              <c:strCache>
                <c:ptCount val="5"/>
                <c:pt idx="0">
                  <c:v>2018</c:v>
                </c:pt>
                <c:pt idx="1">
                  <c:v>2019</c:v>
                </c:pt>
                <c:pt idx="2">
                  <c:v>2020</c:v>
                </c:pt>
                <c:pt idx="3">
                  <c:v>2021</c:v>
                </c:pt>
                <c:pt idx="4">
                  <c:v>2022</c:v>
                </c:pt>
              </c:strCache>
            </c:strRef>
          </c:cat>
          <c:val>
            <c:numRef>
              <c:f>'Pivot Tables'!$K$15:$K$20</c:f>
              <c:numCache>
                <c:formatCode>0.000</c:formatCode>
                <c:ptCount val="5"/>
                <c:pt idx="0">
                  <c:v>0.69631710687435111</c:v>
                </c:pt>
                <c:pt idx="1">
                  <c:v>0.70856504149635025</c:v>
                </c:pt>
                <c:pt idx="2">
                  <c:v>0.70430186256636529</c:v>
                </c:pt>
                <c:pt idx="3">
                  <c:v>0.69720674345560241</c:v>
                </c:pt>
                <c:pt idx="4">
                  <c:v>0.71518896197546311</c:v>
                </c:pt>
              </c:numCache>
            </c:numRef>
          </c:val>
          <c:smooth val="0"/>
          <c:extLst>
            <c:ext xmlns:c16="http://schemas.microsoft.com/office/drawing/2014/chart" uri="{C3380CC4-5D6E-409C-BE32-E72D297353CC}">
              <c16:uniqueId val="{0000016A-C8A9-470E-9877-A419A9B0D24F}"/>
            </c:ext>
          </c:extLst>
        </c:ser>
        <c:ser>
          <c:idx val="5"/>
          <c:order val="5"/>
          <c:tx>
            <c:strRef>
              <c:f>'Pivot Tables'!$L$13:$L$14</c:f>
              <c:strCache>
                <c:ptCount val="1"/>
                <c:pt idx="0">
                  <c:v>Region III</c:v>
                </c:pt>
              </c:strCache>
            </c:strRef>
          </c:tx>
          <c:spPr>
            <a:ln w="38100" cap="rnd">
              <a:solidFill>
                <a:schemeClr val="accent5"/>
              </a:solidFill>
              <a:round/>
            </a:ln>
            <a:effectLst/>
          </c:spPr>
          <c:marker>
            <c:symbol val="circle"/>
            <c:size val="8"/>
            <c:spPr>
              <a:solidFill>
                <a:schemeClr val="accent5"/>
              </a:solidFill>
              <a:ln>
                <a:noFill/>
              </a:ln>
              <a:effectLst/>
            </c:spPr>
          </c:marker>
          <c:cat>
            <c:strRef>
              <c:f>'Pivot Tables'!$F$15:$F$20</c:f>
              <c:strCache>
                <c:ptCount val="5"/>
                <c:pt idx="0">
                  <c:v>2018</c:v>
                </c:pt>
                <c:pt idx="1">
                  <c:v>2019</c:v>
                </c:pt>
                <c:pt idx="2">
                  <c:v>2020</c:v>
                </c:pt>
                <c:pt idx="3">
                  <c:v>2021</c:v>
                </c:pt>
                <c:pt idx="4">
                  <c:v>2022</c:v>
                </c:pt>
              </c:strCache>
            </c:strRef>
          </c:cat>
          <c:val>
            <c:numRef>
              <c:f>'Pivot Tables'!$L$15:$L$20</c:f>
              <c:numCache>
                <c:formatCode>0.000</c:formatCode>
                <c:ptCount val="5"/>
                <c:pt idx="0">
                  <c:v>0.71915100603166593</c:v>
                </c:pt>
                <c:pt idx="1">
                  <c:v>0.72734896343631561</c:v>
                </c:pt>
                <c:pt idx="2">
                  <c:v>0.71879051067495947</c:v>
                </c:pt>
                <c:pt idx="3">
                  <c:v>0.70692827262530888</c:v>
                </c:pt>
                <c:pt idx="4">
                  <c:v>0.72088618859543008</c:v>
                </c:pt>
              </c:numCache>
            </c:numRef>
          </c:val>
          <c:smooth val="0"/>
          <c:extLst>
            <c:ext xmlns:c16="http://schemas.microsoft.com/office/drawing/2014/chart" uri="{C3380CC4-5D6E-409C-BE32-E72D297353CC}">
              <c16:uniqueId val="{0000016B-C8A9-470E-9877-A419A9B0D24F}"/>
            </c:ext>
          </c:extLst>
        </c:ser>
        <c:ser>
          <c:idx val="6"/>
          <c:order val="6"/>
          <c:tx>
            <c:strRef>
              <c:f>'Pivot Tables'!$M$13:$M$14</c:f>
              <c:strCache>
                <c:ptCount val="1"/>
                <c:pt idx="0">
                  <c:v>Region IVA</c:v>
                </c:pt>
              </c:strCache>
            </c:strRef>
          </c:tx>
          <c:spPr>
            <a:ln w="38100" cap="rnd">
              <a:solidFill>
                <a:schemeClr val="accent6"/>
              </a:solidFill>
              <a:round/>
            </a:ln>
            <a:effectLst/>
          </c:spPr>
          <c:marker>
            <c:symbol val="circle"/>
            <c:size val="8"/>
            <c:spPr>
              <a:solidFill>
                <a:schemeClr val="accent6"/>
              </a:solidFill>
              <a:ln>
                <a:noFill/>
              </a:ln>
              <a:effectLst/>
            </c:spPr>
          </c:marker>
          <c:cat>
            <c:strRef>
              <c:f>'Pivot Tables'!$F$15:$F$20</c:f>
              <c:strCache>
                <c:ptCount val="5"/>
                <c:pt idx="0">
                  <c:v>2018</c:v>
                </c:pt>
                <c:pt idx="1">
                  <c:v>2019</c:v>
                </c:pt>
                <c:pt idx="2">
                  <c:v>2020</c:v>
                </c:pt>
                <c:pt idx="3">
                  <c:v>2021</c:v>
                </c:pt>
                <c:pt idx="4">
                  <c:v>2022</c:v>
                </c:pt>
              </c:strCache>
            </c:strRef>
          </c:cat>
          <c:val>
            <c:numRef>
              <c:f>'Pivot Tables'!$M$15:$M$20</c:f>
              <c:numCache>
                <c:formatCode>0.000</c:formatCode>
                <c:ptCount val="5"/>
                <c:pt idx="0">
                  <c:v>0.72728485430873657</c:v>
                </c:pt>
                <c:pt idx="1">
                  <c:v>0.7330211461886903</c:v>
                </c:pt>
                <c:pt idx="2">
                  <c:v>0.72211579087694477</c:v>
                </c:pt>
                <c:pt idx="3">
                  <c:v>0.70792316759874729</c:v>
                </c:pt>
                <c:pt idx="4">
                  <c:v>0.71960789124860502</c:v>
                </c:pt>
              </c:numCache>
            </c:numRef>
          </c:val>
          <c:smooth val="0"/>
          <c:extLst>
            <c:ext xmlns:c16="http://schemas.microsoft.com/office/drawing/2014/chart" uri="{C3380CC4-5D6E-409C-BE32-E72D297353CC}">
              <c16:uniqueId val="{0000016C-C8A9-470E-9877-A419A9B0D24F}"/>
            </c:ext>
          </c:extLst>
        </c:ser>
        <c:ser>
          <c:idx val="7"/>
          <c:order val="7"/>
          <c:tx>
            <c:strRef>
              <c:f>'Pivot Tables'!$N$13:$N$14</c:f>
              <c:strCache>
                <c:ptCount val="1"/>
                <c:pt idx="0">
                  <c:v>Region IVB</c:v>
                </c:pt>
              </c:strCache>
            </c:strRef>
          </c:tx>
          <c:spPr>
            <a:ln w="38100" cap="rnd">
              <a:solidFill>
                <a:schemeClr val="accent1">
                  <a:lumMod val="60000"/>
                </a:schemeClr>
              </a:solidFill>
              <a:round/>
            </a:ln>
            <a:effectLst/>
          </c:spPr>
          <c:marker>
            <c:symbol val="circle"/>
            <c:size val="8"/>
            <c:spPr>
              <a:solidFill>
                <a:schemeClr val="accent1">
                  <a:lumMod val="6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Tables'!$N$15:$N$20</c:f>
              <c:numCache>
                <c:formatCode>0.000</c:formatCode>
                <c:ptCount val="5"/>
                <c:pt idx="0">
                  <c:v>0.67862024422773537</c:v>
                </c:pt>
                <c:pt idx="1">
                  <c:v>0.68893631483799045</c:v>
                </c:pt>
                <c:pt idx="2">
                  <c:v>0.6830197915731806</c:v>
                </c:pt>
                <c:pt idx="3">
                  <c:v>0.67444620543903211</c:v>
                </c:pt>
                <c:pt idx="4">
                  <c:v>0.69049297517432795</c:v>
                </c:pt>
              </c:numCache>
            </c:numRef>
          </c:val>
          <c:smooth val="0"/>
          <c:extLst>
            <c:ext xmlns:c16="http://schemas.microsoft.com/office/drawing/2014/chart" uri="{C3380CC4-5D6E-409C-BE32-E72D297353CC}">
              <c16:uniqueId val="{0000016D-C8A9-470E-9877-A419A9B0D24F}"/>
            </c:ext>
          </c:extLst>
        </c:ser>
        <c:ser>
          <c:idx val="8"/>
          <c:order val="8"/>
          <c:tx>
            <c:strRef>
              <c:f>'Pivot Tables'!$O$13:$O$14</c:f>
              <c:strCache>
                <c:ptCount val="1"/>
                <c:pt idx="0">
                  <c:v>Region IX</c:v>
                </c:pt>
              </c:strCache>
            </c:strRef>
          </c:tx>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Tables'!$O$15:$O$20</c:f>
              <c:numCache>
                <c:formatCode>0.000</c:formatCode>
                <c:ptCount val="5"/>
                <c:pt idx="0">
                  <c:v>0.67288430872297789</c:v>
                </c:pt>
                <c:pt idx="1">
                  <c:v>0.67944865673137089</c:v>
                </c:pt>
                <c:pt idx="2">
                  <c:v>0.67008822173586169</c:v>
                </c:pt>
                <c:pt idx="3">
                  <c:v>0.65818307705921175</c:v>
                </c:pt>
                <c:pt idx="4">
                  <c:v>0.67041743464372927</c:v>
                </c:pt>
              </c:numCache>
            </c:numRef>
          </c:val>
          <c:smooth val="0"/>
          <c:extLst>
            <c:ext xmlns:c16="http://schemas.microsoft.com/office/drawing/2014/chart" uri="{C3380CC4-5D6E-409C-BE32-E72D297353CC}">
              <c16:uniqueId val="{0000016E-C8A9-470E-9877-A419A9B0D24F}"/>
            </c:ext>
          </c:extLst>
        </c:ser>
        <c:ser>
          <c:idx val="9"/>
          <c:order val="9"/>
          <c:tx>
            <c:strRef>
              <c:f>'Pivot Tables'!$P$13:$P$14</c:f>
              <c:strCache>
                <c:ptCount val="1"/>
                <c:pt idx="0">
                  <c:v>Region V</c:v>
                </c:pt>
              </c:strCache>
            </c:strRef>
          </c:tx>
          <c:spPr>
            <a:ln w="38100" cap="rnd">
              <a:solidFill>
                <a:schemeClr val="accent3">
                  <a:lumMod val="60000"/>
                </a:schemeClr>
              </a:solidFill>
              <a:round/>
            </a:ln>
            <a:effectLst/>
          </c:spPr>
          <c:marker>
            <c:symbol val="circle"/>
            <c:size val="8"/>
            <c:spPr>
              <a:solidFill>
                <a:schemeClr val="accent3">
                  <a:lumMod val="6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Tables'!$P$15:$P$20</c:f>
              <c:numCache>
                <c:formatCode>0.000</c:formatCode>
                <c:ptCount val="5"/>
                <c:pt idx="0">
                  <c:v>0.6776058521834547</c:v>
                </c:pt>
                <c:pt idx="1">
                  <c:v>0.68459662433082646</c:v>
                </c:pt>
                <c:pt idx="2">
                  <c:v>0.67564218808178733</c:v>
                </c:pt>
                <c:pt idx="3">
                  <c:v>0.66416743201314365</c:v>
                </c:pt>
                <c:pt idx="4">
                  <c:v>0.67703310732067035</c:v>
                </c:pt>
              </c:numCache>
            </c:numRef>
          </c:val>
          <c:smooth val="0"/>
          <c:extLst>
            <c:ext xmlns:c16="http://schemas.microsoft.com/office/drawing/2014/chart" uri="{C3380CC4-5D6E-409C-BE32-E72D297353CC}">
              <c16:uniqueId val="{0000016F-C8A9-470E-9877-A419A9B0D24F}"/>
            </c:ext>
          </c:extLst>
        </c:ser>
        <c:ser>
          <c:idx val="10"/>
          <c:order val="10"/>
          <c:tx>
            <c:strRef>
              <c:f>'Pivot Tables'!$Q$13:$Q$14</c:f>
              <c:strCache>
                <c:ptCount val="1"/>
                <c:pt idx="0">
                  <c:v>Region VI</c:v>
                </c:pt>
              </c:strCache>
            </c:strRef>
          </c:tx>
          <c:spPr>
            <a:ln w="38100" cap="rnd">
              <a:solidFill>
                <a:schemeClr val="accent4">
                  <a:lumMod val="60000"/>
                </a:schemeClr>
              </a:solidFill>
              <a:round/>
            </a:ln>
            <a:effectLst/>
          </c:spPr>
          <c:marker>
            <c:symbol val="circle"/>
            <c:size val="8"/>
            <c:spPr>
              <a:solidFill>
                <a:schemeClr val="accent4">
                  <a:lumMod val="6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Tables'!$Q$15:$Q$20</c:f>
              <c:numCache>
                <c:formatCode>0.000</c:formatCode>
                <c:ptCount val="5"/>
                <c:pt idx="0">
                  <c:v>0.68002033974729348</c:v>
                </c:pt>
                <c:pt idx="1">
                  <c:v>0.6947761525201428</c:v>
                </c:pt>
                <c:pt idx="2">
                  <c:v>0.69322937982636046</c:v>
                </c:pt>
                <c:pt idx="3">
                  <c:v>0.68872896951936746</c:v>
                </c:pt>
                <c:pt idx="4">
                  <c:v>0.70938718084868191</c:v>
                </c:pt>
              </c:numCache>
            </c:numRef>
          </c:val>
          <c:smooth val="0"/>
          <c:extLst>
            <c:ext xmlns:c16="http://schemas.microsoft.com/office/drawing/2014/chart" uri="{C3380CC4-5D6E-409C-BE32-E72D297353CC}">
              <c16:uniqueId val="{00000170-C8A9-470E-9877-A419A9B0D24F}"/>
            </c:ext>
          </c:extLst>
        </c:ser>
        <c:ser>
          <c:idx val="11"/>
          <c:order val="11"/>
          <c:tx>
            <c:strRef>
              <c:f>'Pivot Tables'!$R$13:$R$14</c:f>
              <c:strCache>
                <c:ptCount val="1"/>
                <c:pt idx="0">
                  <c:v>Region VII</c:v>
                </c:pt>
              </c:strCache>
            </c:strRef>
          </c:tx>
          <c:spPr>
            <a:ln w="38100" cap="rnd">
              <a:solidFill>
                <a:schemeClr val="accent5">
                  <a:lumMod val="60000"/>
                </a:schemeClr>
              </a:solidFill>
              <a:round/>
            </a:ln>
            <a:effectLst/>
          </c:spPr>
          <c:marker>
            <c:symbol val="circle"/>
            <c:size val="8"/>
            <c:spPr>
              <a:solidFill>
                <a:schemeClr val="accent5">
                  <a:lumMod val="6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Tables'!$R$15:$R$20</c:f>
              <c:numCache>
                <c:formatCode>0.000</c:formatCode>
                <c:ptCount val="5"/>
                <c:pt idx="0">
                  <c:v>0.69070046767700277</c:v>
                </c:pt>
                <c:pt idx="1">
                  <c:v>0.69803907508683483</c:v>
                </c:pt>
                <c:pt idx="2">
                  <c:v>0.68922383081149929</c:v>
                </c:pt>
                <c:pt idx="3">
                  <c:v>0.67766291507225107</c:v>
                </c:pt>
                <c:pt idx="4">
                  <c:v>0.69086925081542427</c:v>
                </c:pt>
              </c:numCache>
            </c:numRef>
          </c:val>
          <c:smooth val="0"/>
          <c:extLst>
            <c:ext xmlns:c16="http://schemas.microsoft.com/office/drawing/2014/chart" uri="{C3380CC4-5D6E-409C-BE32-E72D297353CC}">
              <c16:uniqueId val="{00000171-C8A9-470E-9877-A419A9B0D24F}"/>
            </c:ext>
          </c:extLst>
        </c:ser>
        <c:ser>
          <c:idx val="12"/>
          <c:order val="12"/>
          <c:tx>
            <c:strRef>
              <c:f>'Pivot Tables'!$S$13:$S$14</c:f>
              <c:strCache>
                <c:ptCount val="1"/>
                <c:pt idx="0">
                  <c:v>Region VIII</c:v>
                </c:pt>
              </c:strCache>
            </c:strRef>
          </c:tx>
          <c:spPr>
            <a:ln w="38100" cap="rnd">
              <a:solidFill>
                <a:schemeClr val="accent6">
                  <a:lumMod val="60000"/>
                </a:schemeClr>
              </a:solidFill>
              <a:round/>
            </a:ln>
            <a:effectLst/>
          </c:spPr>
          <c:marker>
            <c:symbol val="circle"/>
            <c:size val="8"/>
            <c:spPr>
              <a:solidFill>
                <a:schemeClr val="accent6">
                  <a:lumMod val="6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Tables'!$S$15:$S$20</c:f>
              <c:numCache>
                <c:formatCode>0.000</c:formatCode>
                <c:ptCount val="5"/>
                <c:pt idx="0">
                  <c:v>0.68763558358460375</c:v>
                </c:pt>
                <c:pt idx="1">
                  <c:v>0.69623935135732995</c:v>
                </c:pt>
                <c:pt idx="2">
                  <c:v>0.68860450711382426</c:v>
                </c:pt>
                <c:pt idx="3">
                  <c:v>0.67837818823076401</c:v>
                </c:pt>
                <c:pt idx="4">
                  <c:v>0.69287711155869536</c:v>
                </c:pt>
              </c:numCache>
            </c:numRef>
          </c:val>
          <c:smooth val="0"/>
          <c:extLst>
            <c:ext xmlns:c16="http://schemas.microsoft.com/office/drawing/2014/chart" uri="{C3380CC4-5D6E-409C-BE32-E72D297353CC}">
              <c16:uniqueId val="{00000172-C8A9-470E-9877-A419A9B0D24F}"/>
            </c:ext>
          </c:extLst>
        </c:ser>
        <c:ser>
          <c:idx val="13"/>
          <c:order val="13"/>
          <c:tx>
            <c:strRef>
              <c:f>'Pivot Tables'!$T$13:$T$14</c:f>
              <c:strCache>
                <c:ptCount val="1"/>
                <c:pt idx="0">
                  <c:v>Region X</c:v>
                </c:pt>
              </c:strCache>
            </c:strRef>
          </c:tx>
          <c:spPr>
            <a:ln w="38100" cap="rnd">
              <a:solidFill>
                <a:schemeClr val="accent1">
                  <a:lumMod val="80000"/>
                  <a:lumOff val="20000"/>
                </a:schemeClr>
              </a:solidFill>
              <a:round/>
            </a:ln>
            <a:effectLst/>
          </c:spPr>
          <c:marker>
            <c:symbol val="circle"/>
            <c:size val="8"/>
            <c:spPr>
              <a:solidFill>
                <a:schemeClr val="accent1">
                  <a:lumMod val="80000"/>
                  <a:lumOff val="2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Tables'!$T$15:$T$20</c:f>
              <c:numCache>
                <c:formatCode>0.000</c:formatCode>
                <c:ptCount val="5"/>
                <c:pt idx="0">
                  <c:v>0.69100403790835185</c:v>
                </c:pt>
                <c:pt idx="1">
                  <c:v>0.70285178790063629</c:v>
                </c:pt>
                <c:pt idx="2">
                  <c:v>0.69840654607241315</c:v>
                </c:pt>
                <c:pt idx="3">
                  <c:v>0.69103174085032437</c:v>
                </c:pt>
                <c:pt idx="4">
                  <c:v>0.70862349414496639</c:v>
                </c:pt>
              </c:numCache>
            </c:numRef>
          </c:val>
          <c:smooth val="0"/>
          <c:extLst>
            <c:ext xmlns:c16="http://schemas.microsoft.com/office/drawing/2014/chart" uri="{C3380CC4-5D6E-409C-BE32-E72D297353CC}">
              <c16:uniqueId val="{00000173-C8A9-470E-9877-A419A9B0D24F}"/>
            </c:ext>
          </c:extLst>
        </c:ser>
        <c:ser>
          <c:idx val="14"/>
          <c:order val="14"/>
          <c:tx>
            <c:strRef>
              <c:f>'Pivot Tables'!$U$13:$U$14</c:f>
              <c:strCache>
                <c:ptCount val="1"/>
                <c:pt idx="0">
                  <c:v>Region XI</c:v>
                </c:pt>
              </c:strCache>
            </c:strRef>
          </c:tx>
          <c:spPr>
            <a:ln w="38100" cap="rnd">
              <a:solidFill>
                <a:schemeClr val="accent2">
                  <a:lumMod val="80000"/>
                  <a:lumOff val="20000"/>
                </a:schemeClr>
              </a:solidFill>
              <a:round/>
            </a:ln>
            <a:effectLst/>
          </c:spPr>
          <c:marker>
            <c:symbol val="circle"/>
            <c:size val="8"/>
            <c:spPr>
              <a:solidFill>
                <a:schemeClr val="accent2">
                  <a:lumMod val="80000"/>
                  <a:lumOff val="2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Tables'!$U$15:$U$20</c:f>
              <c:numCache>
                <c:formatCode>0.000</c:formatCode>
                <c:ptCount val="5"/>
                <c:pt idx="0">
                  <c:v>0.68992623787728191</c:v>
                </c:pt>
                <c:pt idx="1">
                  <c:v>0.70109402544505817</c:v>
                </c:pt>
                <c:pt idx="2">
                  <c:v>0.69603319487320781</c:v>
                </c:pt>
                <c:pt idx="3">
                  <c:v>0.68825283738692677</c:v>
                </c:pt>
                <c:pt idx="4">
                  <c:v>0.70537597029817212</c:v>
                </c:pt>
              </c:numCache>
            </c:numRef>
          </c:val>
          <c:smooth val="0"/>
          <c:extLst>
            <c:ext xmlns:c16="http://schemas.microsoft.com/office/drawing/2014/chart" uri="{C3380CC4-5D6E-409C-BE32-E72D297353CC}">
              <c16:uniqueId val="{00000174-C8A9-470E-9877-A419A9B0D24F}"/>
            </c:ext>
          </c:extLst>
        </c:ser>
        <c:ser>
          <c:idx val="15"/>
          <c:order val="15"/>
          <c:tx>
            <c:strRef>
              <c:f>'Pivot Tables'!$V$13:$V$14</c:f>
              <c:strCache>
                <c:ptCount val="1"/>
                <c:pt idx="0">
                  <c:v>Region XII</c:v>
                </c:pt>
              </c:strCache>
            </c:strRef>
          </c:tx>
          <c:spPr>
            <a:ln w="38100" cap="rnd">
              <a:solidFill>
                <a:schemeClr val="accent3">
                  <a:lumMod val="80000"/>
                  <a:lumOff val="20000"/>
                </a:schemeClr>
              </a:solidFill>
              <a:round/>
            </a:ln>
            <a:effectLst/>
          </c:spPr>
          <c:marker>
            <c:symbol val="circle"/>
            <c:size val="8"/>
            <c:spPr>
              <a:solidFill>
                <a:schemeClr val="accent3">
                  <a:lumMod val="80000"/>
                  <a:lumOff val="2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Tables'!$V$15:$V$20</c:f>
              <c:numCache>
                <c:formatCode>0.000</c:formatCode>
                <c:ptCount val="5"/>
                <c:pt idx="0">
                  <c:v>0.66015587687060395</c:v>
                </c:pt>
                <c:pt idx="1">
                  <c:v>0.67235084788942689</c:v>
                </c:pt>
                <c:pt idx="2">
                  <c:v>0.66878913409041807</c:v>
                </c:pt>
                <c:pt idx="3">
                  <c:v>0.66251823230696028</c:v>
                </c:pt>
                <c:pt idx="4">
                  <c:v>0.68046933334909376</c:v>
                </c:pt>
              </c:numCache>
            </c:numRef>
          </c:val>
          <c:smooth val="0"/>
          <c:extLst>
            <c:ext xmlns:c16="http://schemas.microsoft.com/office/drawing/2014/chart" uri="{C3380CC4-5D6E-409C-BE32-E72D297353CC}">
              <c16:uniqueId val="{00000175-C8A9-470E-9877-A419A9B0D24F}"/>
            </c:ext>
          </c:extLst>
        </c:ser>
        <c:ser>
          <c:idx val="16"/>
          <c:order val="16"/>
          <c:tx>
            <c:strRef>
              <c:f>'Pivot Tables'!$W$13:$W$14</c:f>
              <c:strCache>
                <c:ptCount val="1"/>
                <c:pt idx="0">
                  <c:v>Region XIII</c:v>
                </c:pt>
              </c:strCache>
            </c:strRef>
          </c:tx>
          <c:spPr>
            <a:ln w="38100" cap="rnd">
              <a:solidFill>
                <a:schemeClr val="accent4">
                  <a:lumMod val="80000"/>
                  <a:lumOff val="20000"/>
                </a:schemeClr>
              </a:solidFill>
              <a:round/>
            </a:ln>
            <a:effectLst/>
          </c:spPr>
          <c:marker>
            <c:symbol val="circle"/>
            <c:size val="8"/>
            <c:spPr>
              <a:solidFill>
                <a:schemeClr val="accent4">
                  <a:lumMod val="80000"/>
                  <a:lumOff val="20000"/>
                </a:schemeClr>
              </a:solidFill>
              <a:ln>
                <a:noFill/>
              </a:ln>
              <a:effectLst/>
            </c:spPr>
          </c:marker>
          <c:cat>
            <c:strRef>
              <c:f>'Pivot Tables'!$F$15:$F$20</c:f>
              <c:strCache>
                <c:ptCount val="5"/>
                <c:pt idx="0">
                  <c:v>2018</c:v>
                </c:pt>
                <c:pt idx="1">
                  <c:v>2019</c:v>
                </c:pt>
                <c:pt idx="2">
                  <c:v>2020</c:v>
                </c:pt>
                <c:pt idx="3">
                  <c:v>2021</c:v>
                </c:pt>
                <c:pt idx="4">
                  <c:v>2022</c:v>
                </c:pt>
              </c:strCache>
            </c:strRef>
          </c:cat>
          <c:val>
            <c:numRef>
              <c:f>'Pivot Tables'!$W$15:$W$20</c:f>
              <c:numCache>
                <c:formatCode>0.000</c:formatCode>
                <c:ptCount val="5"/>
                <c:pt idx="0">
                  <c:v>0.69404960859056219</c:v>
                </c:pt>
                <c:pt idx="1">
                  <c:v>0.70478949687987669</c:v>
                </c:pt>
                <c:pt idx="2">
                  <c:v>0.69916780552846181</c:v>
                </c:pt>
                <c:pt idx="3">
                  <c:v>0.69077342241290851</c:v>
                </c:pt>
                <c:pt idx="4">
                  <c:v>0.70734790229820543</c:v>
                </c:pt>
              </c:numCache>
            </c:numRef>
          </c:val>
          <c:smooth val="0"/>
          <c:extLst>
            <c:ext xmlns:c16="http://schemas.microsoft.com/office/drawing/2014/chart" uri="{C3380CC4-5D6E-409C-BE32-E72D297353CC}">
              <c16:uniqueId val="{00000176-C8A9-470E-9877-A419A9B0D24F}"/>
            </c:ext>
          </c:extLst>
        </c:ser>
        <c:dLbls>
          <c:showLegendKey val="0"/>
          <c:showVal val="0"/>
          <c:showCatName val="0"/>
          <c:showSerName val="0"/>
          <c:showPercent val="0"/>
          <c:showBubbleSize val="0"/>
        </c:dLbls>
        <c:marker val="1"/>
        <c:smooth val="0"/>
        <c:axId val="406167663"/>
        <c:axId val="406164303"/>
      </c:lineChart>
      <c:catAx>
        <c:axId val="40616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tx1">
                    <a:lumMod val="65000"/>
                    <a:lumOff val="35000"/>
                  </a:schemeClr>
                </a:solidFill>
                <a:latin typeface="Aptos Display" panose="020B0004020202020204" pitchFamily="34" charset="0"/>
                <a:ea typeface="+mn-ea"/>
                <a:cs typeface="+mn-cs"/>
              </a:defRPr>
            </a:pPr>
            <a:endParaRPr lang="en-US"/>
          </a:p>
        </c:txPr>
        <c:crossAx val="406164303"/>
        <c:crosses val="autoZero"/>
        <c:auto val="1"/>
        <c:lblAlgn val="ctr"/>
        <c:lblOffset val="100"/>
        <c:noMultiLvlLbl val="0"/>
      </c:catAx>
      <c:valAx>
        <c:axId val="406164303"/>
        <c:scaling>
          <c:orientation val="minMax"/>
          <c:min val="0.550000000000000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406167663"/>
        <c:crosses val="autoZero"/>
        <c:crossBetween val="between"/>
      </c:valAx>
      <c:spPr>
        <a:noFill/>
        <a:ln w="0">
          <a:noFill/>
        </a:ln>
        <a:effectLst/>
      </c:spPr>
    </c:plotArea>
    <c:legend>
      <c:legendPos val="t"/>
      <c:legendEntry>
        <c:idx val="0"/>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Entry>
      <c:layout>
        <c:manualLayout>
          <c:xMode val="edge"/>
          <c:yMode val="edge"/>
          <c:x val="9.6656598336829866E-2"/>
          <c:y val="0.11221936323022112"/>
          <c:w val="0.8175244230720623"/>
          <c:h val="0.1837605327150370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[36th-NSM-Excell-Dashboard-Arnobit.xlsx]Pivot Tables!PivotTable4</c:name>
    <c:fmtId val="17"/>
  </c:pivotSource>
  <c:chart>
    <c:autoTitleDeleted val="0"/>
    <c:pivotFmts>
      <c:pivotFmt>
        <c:idx val="0"/>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lumMod val="75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Tables'!$G$23:$G$24</c:f>
              <c:strCache>
                <c:ptCount val="1"/>
                <c:pt idx="0">
                  <c:v>Female</c:v>
                </c:pt>
              </c:strCache>
            </c:strRef>
          </c:tx>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noFill/>
                <a:round/>
              </a:ln>
              <a:effectLst>
                <a:outerShdw blurRad="57150" dist="19050" dir="5400000" algn="ctr" rotWithShape="0">
                  <a:srgbClr val="000000">
                    <a:alpha val="63000"/>
                  </a:srgbClr>
                </a:outerShdw>
              </a:effectLst>
            </c:spPr>
          </c:marker>
          <c:cat>
            <c:strRef>
              <c:f>'Pivot Tables'!$F$25:$F$30</c:f>
              <c:strCache>
                <c:ptCount val="5"/>
                <c:pt idx="0">
                  <c:v>2018</c:v>
                </c:pt>
                <c:pt idx="1">
                  <c:v>2019</c:v>
                </c:pt>
                <c:pt idx="2">
                  <c:v>2020</c:v>
                </c:pt>
                <c:pt idx="3">
                  <c:v>2021</c:v>
                </c:pt>
                <c:pt idx="4">
                  <c:v>2022</c:v>
                </c:pt>
              </c:strCache>
            </c:strRef>
          </c:cat>
          <c:val>
            <c:numRef>
              <c:f>'Pivot Tables'!$G$25:$G$30</c:f>
              <c:numCache>
                <c:formatCode>0.000</c:formatCode>
                <c:ptCount val="5"/>
                <c:pt idx="0">
                  <c:v>0.69824046139430263</c:v>
                </c:pt>
                <c:pt idx="1">
                  <c:v>0.70823358552400995</c:v>
                </c:pt>
                <c:pt idx="2">
                  <c:v>0.7017004954313637</c:v>
                </c:pt>
                <c:pt idx="3">
                  <c:v>0.69364665241585532</c:v>
                </c:pt>
                <c:pt idx="4">
                  <c:v>0.69958708727213281</c:v>
                </c:pt>
              </c:numCache>
            </c:numRef>
          </c:val>
          <c:smooth val="0"/>
          <c:extLst>
            <c:ext xmlns:c16="http://schemas.microsoft.com/office/drawing/2014/chart" uri="{C3380CC4-5D6E-409C-BE32-E72D297353CC}">
              <c16:uniqueId val="{00000000-2176-4E78-A1F0-8847D9D8017C}"/>
            </c:ext>
          </c:extLst>
        </c:ser>
        <c:ser>
          <c:idx val="1"/>
          <c:order val="1"/>
          <c:tx>
            <c:strRef>
              <c:f>'Pivot Tables'!$H$23:$H$24</c:f>
              <c:strCache>
                <c:ptCount val="1"/>
                <c:pt idx="0">
                  <c:v>Male</c:v>
                </c:pt>
              </c:strCache>
            </c:strRef>
          </c:tx>
          <c:spPr>
            <a:ln w="34925" cap="rnd">
              <a:solidFill>
                <a:schemeClr val="accent5">
                  <a:lumMod val="75000"/>
                </a:schemeClr>
              </a:solidFill>
              <a:round/>
            </a:ln>
            <a:effectLst>
              <a:outerShdw blurRad="57150" dist="19050" dir="5400000" algn="ctr" rotWithShape="0">
                <a:srgbClr val="000000">
                  <a:alpha val="63000"/>
                </a:srgbClr>
              </a:outerShdw>
            </a:effectLst>
          </c:spPr>
          <c:marker>
            <c:symbol val="circle"/>
            <c:size val="6"/>
            <c:spPr>
              <a:solidFill>
                <a:schemeClr val="accent5">
                  <a:lumMod val="75000"/>
                </a:schemeClr>
              </a:solidFill>
              <a:ln w="9525">
                <a:noFill/>
                <a:round/>
              </a:ln>
              <a:effectLst>
                <a:outerShdw blurRad="57150" dist="19050" dir="5400000" algn="ctr" rotWithShape="0">
                  <a:srgbClr val="000000">
                    <a:alpha val="63000"/>
                  </a:srgbClr>
                </a:outerShdw>
              </a:effectLst>
            </c:spPr>
          </c:marker>
          <c:cat>
            <c:strRef>
              <c:f>'Pivot Tables'!$F$25:$F$30</c:f>
              <c:strCache>
                <c:ptCount val="5"/>
                <c:pt idx="0">
                  <c:v>2018</c:v>
                </c:pt>
                <c:pt idx="1">
                  <c:v>2019</c:v>
                </c:pt>
                <c:pt idx="2">
                  <c:v>2020</c:v>
                </c:pt>
                <c:pt idx="3">
                  <c:v>2021</c:v>
                </c:pt>
                <c:pt idx="4">
                  <c:v>2022</c:v>
                </c:pt>
              </c:strCache>
            </c:strRef>
          </c:cat>
          <c:val>
            <c:numRef>
              <c:f>'Pivot Tables'!$H$25:$H$30</c:f>
              <c:numCache>
                <c:formatCode>0.000</c:formatCode>
                <c:ptCount val="5"/>
                <c:pt idx="0">
                  <c:v>0.68534840356042426</c:v>
                </c:pt>
                <c:pt idx="1">
                  <c:v>0.69410692840101385</c:v>
                </c:pt>
                <c:pt idx="2">
                  <c:v>0.6868073451726282</c:v>
                </c:pt>
                <c:pt idx="3">
                  <c:v>0.67540288636869972</c:v>
                </c:pt>
                <c:pt idx="4">
                  <c:v>0.69981562559346067</c:v>
                </c:pt>
              </c:numCache>
            </c:numRef>
          </c:val>
          <c:smooth val="0"/>
          <c:extLst>
            <c:ext xmlns:c16="http://schemas.microsoft.com/office/drawing/2014/chart" uri="{C3380CC4-5D6E-409C-BE32-E72D297353CC}">
              <c16:uniqueId val="{00000001-2176-4E78-A1F0-8847D9D8017C}"/>
            </c:ext>
          </c:extLst>
        </c:ser>
        <c:dLbls>
          <c:showLegendKey val="0"/>
          <c:showVal val="0"/>
          <c:showCatName val="0"/>
          <c:showSerName val="0"/>
          <c:showPercent val="0"/>
          <c:showBubbleSize val="0"/>
        </c:dLbls>
        <c:marker val="1"/>
        <c:smooth val="0"/>
        <c:axId val="2083804335"/>
        <c:axId val="2083819695"/>
      </c:lineChart>
      <c:catAx>
        <c:axId val="2083804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83819695"/>
        <c:crosses val="autoZero"/>
        <c:auto val="1"/>
        <c:lblAlgn val="ctr"/>
        <c:lblOffset val="100"/>
        <c:noMultiLvlLbl val="0"/>
      </c:catAx>
      <c:valAx>
        <c:axId val="2083819695"/>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8380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aseline="0">
          <a:latin typeface="Aptos Display"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[36th-NSM-Excell-Dashboard-Arnobit.xlsx]Pivot Tables!PivotTable9</c:name>
    <c:fmtId val="15"/>
  </c:pivotSource>
  <c:chart>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rgbClr val="BC94EC"/>
            </a:solidFill>
            <a:round/>
          </a:ln>
          <a:effectLst>
            <a:outerShdw blurRad="50800" dist="38100" dir="5400000" algn="t" rotWithShape="0">
              <a:prstClr val="black">
                <a:alpha val="40000"/>
              </a:prstClr>
            </a:outerShdw>
          </a:effectLst>
        </c:spPr>
        <c:marker>
          <c:symbol val="circle"/>
          <c:size val="8"/>
          <c:spPr>
            <a:solidFill>
              <a:srgbClr val="BC94EC"/>
            </a:solidFill>
            <a:ln>
              <a:noFill/>
            </a:ln>
            <a:effectLst>
              <a:outerShdw blurRad="50800" dist="38100" dir="5400000" algn="t"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00B0F0"/>
            </a:solidFill>
            <a:round/>
          </a:ln>
          <a:effectLst>
            <a:outerShdw blurRad="50800" dist="38100" dir="2700000" algn="tl" rotWithShape="0">
              <a:prstClr val="black">
                <a:alpha val="40000"/>
              </a:prstClr>
            </a:outerShdw>
          </a:effectLst>
        </c:spPr>
        <c:marker>
          <c:symbol val="circle"/>
          <c:size val="8"/>
          <c:spPr>
            <a:solidFill>
              <a:srgbClr val="00B0F0"/>
            </a:solidFill>
            <a:ln>
              <a:no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Tables'!$G$33:$G$34</c:f>
              <c:strCache>
                <c:ptCount val="1"/>
                <c:pt idx="0">
                  <c:v>Female</c:v>
                </c:pt>
              </c:strCache>
            </c:strRef>
          </c:tx>
          <c:spPr>
            <a:ln w="38100" cap="rnd">
              <a:solidFill>
                <a:srgbClr val="BC94EC"/>
              </a:solidFill>
              <a:round/>
            </a:ln>
            <a:effectLst>
              <a:outerShdw blurRad="50800" dist="38100" dir="5400000" algn="t" rotWithShape="0">
                <a:prstClr val="black">
                  <a:alpha val="40000"/>
                </a:prstClr>
              </a:outerShdw>
            </a:effectLst>
          </c:spPr>
          <c:marker>
            <c:symbol val="circle"/>
            <c:size val="8"/>
            <c:spPr>
              <a:solidFill>
                <a:srgbClr val="BC94EC"/>
              </a:solidFill>
              <a:ln>
                <a:noFill/>
              </a:ln>
              <a:effectLst>
                <a:outerShdw blurRad="50800" dist="38100" dir="5400000" algn="t" rotWithShape="0">
                  <a:prstClr val="black">
                    <a:alpha val="40000"/>
                  </a:prstClr>
                </a:outerShdw>
              </a:effectLst>
            </c:spPr>
          </c:marker>
          <c:cat>
            <c:strRef>
              <c:f>'Pivot Tables'!$F$35:$F$52</c:f>
              <c:strCache>
                <c:ptCount val="17"/>
                <c:pt idx="0">
                  <c:v>ARMM</c:v>
                </c:pt>
                <c:pt idx="1">
                  <c:v>CAR</c:v>
                </c:pt>
                <c:pt idx="2">
                  <c:v>NCR</c:v>
                </c:pt>
                <c:pt idx="3">
                  <c:v>Region I</c:v>
                </c:pt>
                <c:pt idx="4">
                  <c:v>Region II</c:v>
                </c:pt>
                <c:pt idx="5">
                  <c:v>Region III</c:v>
                </c:pt>
                <c:pt idx="6">
                  <c:v>Region IVA</c:v>
                </c:pt>
                <c:pt idx="7">
                  <c:v>Region IVB</c:v>
                </c:pt>
                <c:pt idx="8">
                  <c:v>Region IX</c:v>
                </c:pt>
                <c:pt idx="9">
                  <c:v>Region V</c:v>
                </c:pt>
                <c:pt idx="10">
                  <c:v>Region VI</c:v>
                </c:pt>
                <c:pt idx="11">
                  <c:v>Region VII</c:v>
                </c:pt>
                <c:pt idx="12">
                  <c:v>Region VIII</c:v>
                </c:pt>
                <c:pt idx="13">
                  <c:v>Region X</c:v>
                </c:pt>
                <c:pt idx="14">
                  <c:v>Region XI</c:v>
                </c:pt>
                <c:pt idx="15">
                  <c:v>Region XII</c:v>
                </c:pt>
                <c:pt idx="16">
                  <c:v>Region XIII</c:v>
                </c:pt>
              </c:strCache>
            </c:strRef>
          </c:cat>
          <c:val>
            <c:numRef>
              <c:f>'Pivot Tables'!$G$35:$G$52</c:f>
              <c:numCache>
                <c:formatCode>0.000</c:formatCode>
                <c:ptCount val="17"/>
                <c:pt idx="0">
                  <c:v>0.60049127762697252</c:v>
                </c:pt>
                <c:pt idx="1">
                  <c:v>0.74121581216264676</c:v>
                </c:pt>
                <c:pt idx="2">
                  <c:v>0.76542987427233022</c:v>
                </c:pt>
                <c:pt idx="3">
                  <c:v>0.71445944775527304</c:v>
                </c:pt>
                <c:pt idx="4">
                  <c:v>0.70671393870610555</c:v>
                </c:pt>
                <c:pt idx="5">
                  <c:v>0.72391428949387893</c:v>
                </c:pt>
                <c:pt idx="6">
                  <c:v>0.73112305808688804</c:v>
                </c:pt>
                <c:pt idx="7">
                  <c:v>0.68713638694969137</c:v>
                </c:pt>
                <c:pt idx="8">
                  <c:v>0.67941806088215428</c:v>
                </c:pt>
                <c:pt idx="9">
                  <c:v>0.68373823488135699</c:v>
                </c:pt>
                <c:pt idx="10">
                  <c:v>0.68574251811657139</c:v>
                </c:pt>
                <c:pt idx="11">
                  <c:v>0.69696042691374915</c:v>
                </c:pt>
                <c:pt idx="12">
                  <c:v>0.69647408246761744</c:v>
                </c:pt>
                <c:pt idx="13">
                  <c:v>0.69841029173502012</c:v>
                </c:pt>
                <c:pt idx="14">
                  <c:v>0.69154785486865489</c:v>
                </c:pt>
                <c:pt idx="15">
                  <c:v>0.66514582490947671</c:v>
                </c:pt>
                <c:pt idx="16">
                  <c:v>0.70216646387475568</c:v>
                </c:pt>
              </c:numCache>
            </c:numRef>
          </c:val>
          <c:smooth val="0"/>
          <c:extLst>
            <c:ext xmlns:c16="http://schemas.microsoft.com/office/drawing/2014/chart" uri="{C3380CC4-5D6E-409C-BE32-E72D297353CC}">
              <c16:uniqueId val="{00000000-4856-48F4-B587-6A3C50F3CECA}"/>
            </c:ext>
          </c:extLst>
        </c:ser>
        <c:ser>
          <c:idx val="1"/>
          <c:order val="1"/>
          <c:tx>
            <c:strRef>
              <c:f>'Pivot Tables'!$H$33:$H$34</c:f>
              <c:strCache>
                <c:ptCount val="1"/>
                <c:pt idx="0">
                  <c:v>Male</c:v>
                </c:pt>
              </c:strCache>
            </c:strRef>
          </c:tx>
          <c:spPr>
            <a:ln w="38100" cap="rnd">
              <a:solidFill>
                <a:srgbClr val="00B0F0"/>
              </a:solidFill>
              <a:round/>
            </a:ln>
            <a:effectLst>
              <a:outerShdw blurRad="50800" dist="38100" dir="2700000" algn="tl" rotWithShape="0">
                <a:prstClr val="black">
                  <a:alpha val="40000"/>
                </a:prstClr>
              </a:outerShdw>
            </a:effectLst>
          </c:spPr>
          <c:marker>
            <c:symbol val="circle"/>
            <c:size val="8"/>
            <c:spPr>
              <a:solidFill>
                <a:srgbClr val="00B0F0"/>
              </a:solidFill>
              <a:ln>
                <a:noFill/>
              </a:ln>
              <a:effectLst>
                <a:outerShdw blurRad="50800" dist="38100" dir="2700000" algn="tl" rotWithShape="0">
                  <a:prstClr val="black">
                    <a:alpha val="40000"/>
                  </a:prstClr>
                </a:outerShdw>
              </a:effectLst>
            </c:spPr>
          </c:marker>
          <c:cat>
            <c:strRef>
              <c:f>'Pivot Tables'!$F$35:$F$52</c:f>
              <c:strCache>
                <c:ptCount val="17"/>
                <c:pt idx="0">
                  <c:v>ARMM</c:v>
                </c:pt>
                <c:pt idx="1">
                  <c:v>CAR</c:v>
                </c:pt>
                <c:pt idx="2">
                  <c:v>NCR</c:v>
                </c:pt>
                <c:pt idx="3">
                  <c:v>Region I</c:v>
                </c:pt>
                <c:pt idx="4">
                  <c:v>Region II</c:v>
                </c:pt>
                <c:pt idx="5">
                  <c:v>Region III</c:v>
                </c:pt>
                <c:pt idx="6">
                  <c:v>Region IVA</c:v>
                </c:pt>
                <c:pt idx="7">
                  <c:v>Region IVB</c:v>
                </c:pt>
                <c:pt idx="8">
                  <c:v>Region IX</c:v>
                </c:pt>
                <c:pt idx="9">
                  <c:v>Region V</c:v>
                </c:pt>
                <c:pt idx="10">
                  <c:v>Region VI</c:v>
                </c:pt>
                <c:pt idx="11">
                  <c:v>Region VII</c:v>
                </c:pt>
                <c:pt idx="12">
                  <c:v>Region VIII</c:v>
                </c:pt>
                <c:pt idx="13">
                  <c:v>Region X</c:v>
                </c:pt>
                <c:pt idx="14">
                  <c:v>Region XI</c:v>
                </c:pt>
                <c:pt idx="15">
                  <c:v>Region XII</c:v>
                </c:pt>
                <c:pt idx="16">
                  <c:v>Region XIII</c:v>
                </c:pt>
              </c:strCache>
            </c:strRef>
          </c:cat>
          <c:val>
            <c:numRef>
              <c:f>'Pivot Tables'!$H$35:$H$52</c:f>
              <c:numCache>
                <c:formatCode>0.000</c:formatCode>
                <c:ptCount val="17"/>
                <c:pt idx="0">
                  <c:v>0.58842603945734551</c:v>
                </c:pt>
                <c:pt idx="1">
                  <c:v>0.71940373300932214</c:v>
                </c:pt>
                <c:pt idx="2">
                  <c:v>0.75572082270546814</c:v>
                </c:pt>
                <c:pt idx="3">
                  <c:v>0.70515264803175282</c:v>
                </c:pt>
                <c:pt idx="4">
                  <c:v>0.68592027504259667</c:v>
                </c:pt>
                <c:pt idx="5">
                  <c:v>0.71438772256945282</c:v>
                </c:pt>
                <c:pt idx="6">
                  <c:v>0.7234466505305851</c:v>
                </c:pt>
                <c:pt idx="7">
                  <c:v>0.67010410150577948</c:v>
                </c:pt>
                <c:pt idx="8">
                  <c:v>0.6663505565638016</c:v>
                </c:pt>
                <c:pt idx="9">
                  <c:v>0.67147346948555253</c:v>
                </c:pt>
                <c:pt idx="10">
                  <c:v>0.67429816137801568</c:v>
                </c:pt>
                <c:pt idx="11">
                  <c:v>0.6844405084402565</c:v>
                </c:pt>
                <c:pt idx="12">
                  <c:v>0.67879708470159006</c:v>
                </c:pt>
                <c:pt idx="13">
                  <c:v>0.68359778408168359</c:v>
                </c:pt>
                <c:pt idx="14">
                  <c:v>0.68830462088590894</c:v>
                </c:pt>
                <c:pt idx="15">
                  <c:v>0.65516592883173119</c:v>
                </c:pt>
                <c:pt idx="16">
                  <c:v>0.68593275330636871</c:v>
                </c:pt>
              </c:numCache>
            </c:numRef>
          </c:val>
          <c:smooth val="0"/>
          <c:extLst>
            <c:ext xmlns:c16="http://schemas.microsoft.com/office/drawing/2014/chart" uri="{C3380CC4-5D6E-409C-BE32-E72D297353CC}">
              <c16:uniqueId val="{00000001-4856-48F4-B587-6A3C50F3CECA}"/>
            </c:ext>
          </c:extLst>
        </c:ser>
        <c:dLbls>
          <c:showLegendKey val="0"/>
          <c:showVal val="0"/>
          <c:showCatName val="0"/>
          <c:showSerName val="0"/>
          <c:showPercent val="0"/>
          <c:showBubbleSize val="0"/>
        </c:dLbls>
        <c:marker val="1"/>
        <c:smooth val="0"/>
        <c:axId val="2076620527"/>
        <c:axId val="2076621967"/>
      </c:lineChart>
      <c:catAx>
        <c:axId val="207662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76621967"/>
        <c:crosses val="autoZero"/>
        <c:auto val="1"/>
        <c:lblAlgn val="ctr"/>
        <c:lblOffset val="100"/>
        <c:noMultiLvlLbl val="0"/>
      </c:catAx>
      <c:valAx>
        <c:axId val="2076621967"/>
        <c:scaling>
          <c:orientation val="minMax"/>
          <c:max val="0.78"/>
          <c:min val="0.60000000000000009"/>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2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[36th-NSM-Excell-Dashboard-Arnobit.xlsx]Pivot Tables!PivotTable7</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sp3d/>
        </c:spPr>
      </c:pivotFmt>
      <c:pivotFmt>
        <c:idx val="2"/>
        <c:spPr>
          <a:solidFill>
            <a:srgbClr val="0070C0"/>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pivotFmt>
      <c:pivotFmt>
        <c:idx val="5"/>
        <c:spPr>
          <a:solidFill>
            <a:srgbClr val="0070C0"/>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pivotFmt>
      <c:pivotFmt>
        <c:idx val="8"/>
        <c:spPr>
          <a:solidFill>
            <a:srgbClr val="00B050"/>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a:noFill/>
          </a:ln>
          <a:effectLst/>
          <a:sp3d/>
        </c:spPr>
      </c:pivotFmt>
      <c:pivotFmt>
        <c:idx val="11"/>
        <c:spPr>
          <a:solidFill>
            <a:srgbClr val="00B050"/>
          </a:solidFill>
          <a:ln>
            <a:noFill/>
          </a:ln>
          <a:effectLst/>
          <a:sp3d/>
        </c:spPr>
      </c:pivotFmt>
    </c:pivotFmts>
    <c:view3D>
      <c:rotX val="15"/>
      <c:rotY val="20"/>
      <c:depthPercent val="100"/>
      <c:rAngAx val="1"/>
    </c:view3D>
    <c:floor>
      <c:thickness val="0"/>
      <c:spPr>
        <a:noFill/>
        <a:ln>
          <a:noFill/>
        </a:ln>
        <a:effectLst/>
        <a:sp3d/>
      </c:spPr>
    </c:floor>
    <c:sideWall>
      <c:thickness val="0"/>
      <c:spPr>
        <a:gradFill flip="none" rotWithShape="1">
          <a:gsLst>
            <a:gs pos="0">
              <a:srgbClr val="E4DFD4"/>
            </a:gs>
            <a:gs pos="74000">
              <a:schemeClr val="accent2">
                <a:lumMod val="45000"/>
                <a:lumOff val="55000"/>
              </a:schemeClr>
            </a:gs>
            <a:gs pos="83000">
              <a:schemeClr val="accent2">
                <a:lumMod val="45000"/>
                <a:lumOff val="55000"/>
              </a:schemeClr>
            </a:gs>
            <a:gs pos="100000">
              <a:schemeClr val="accent2">
                <a:lumMod val="30000"/>
                <a:lumOff val="70000"/>
              </a:schemeClr>
            </a:gs>
          </a:gsLst>
          <a:path path="circle">
            <a:fillToRect r="100000" b="100000"/>
          </a:path>
          <a:tileRect l="-100000" t="-100000"/>
        </a:gradFill>
        <a:ln>
          <a:noFill/>
        </a:ln>
        <a:effectLst/>
        <a:sp3d/>
      </c:spPr>
    </c:sideWall>
    <c:backWall>
      <c:thickness val="0"/>
      <c:spPr>
        <a:gradFill flip="none" rotWithShape="1">
          <a:gsLst>
            <a:gs pos="1000">
              <a:schemeClr val="bg1">
                <a:lumMod val="85000"/>
              </a:schemeClr>
            </a:gs>
            <a:gs pos="85000">
              <a:schemeClr val="accent3">
                <a:lumMod val="45000"/>
                <a:lumOff val="55000"/>
              </a:schemeClr>
            </a:gs>
            <a:gs pos="83000">
              <a:schemeClr val="accent3">
                <a:lumMod val="45000"/>
                <a:lumOff val="55000"/>
              </a:schemeClr>
            </a:gs>
            <a:gs pos="100000">
              <a:srgbClr val="00B050">
                <a:alpha val="61000"/>
              </a:srgbClr>
            </a:gs>
          </a:gsLst>
          <a:path path="circle">
            <a:fillToRect r="100000" b="100000"/>
          </a:path>
          <a:tileRect l="-100000" t="-100000"/>
        </a:gradFill>
        <a:ln>
          <a:noFill/>
        </a:ln>
        <a:effectLst/>
        <a:sp3d/>
      </c:spPr>
    </c:backWall>
    <c:plotArea>
      <c:layout>
        <c:manualLayout>
          <c:layoutTarget val="inner"/>
          <c:xMode val="edge"/>
          <c:yMode val="edge"/>
          <c:x val="0.12459173311581297"/>
          <c:y val="4.6296296296296294E-2"/>
          <c:w val="0.83664857696170647"/>
          <c:h val="0.8416746864975212"/>
        </c:manualLayout>
      </c:layout>
      <c:bar3DChart>
        <c:barDir val="col"/>
        <c:grouping val="clustered"/>
        <c:varyColors val="1"/>
        <c:ser>
          <c:idx val="0"/>
          <c:order val="0"/>
          <c:tx>
            <c:strRef>
              <c:f>'Pivot Tables'!$G$4</c:f>
              <c:strCache>
                <c:ptCount val="1"/>
                <c:pt idx="0">
                  <c:v>Total</c:v>
                </c:pt>
              </c:strCache>
            </c:strRef>
          </c:tx>
          <c:invertIfNegative val="0"/>
          <c:dPt>
            <c:idx val="0"/>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1-D55A-46A9-AD9B-40363FB32861}"/>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3-D55A-46A9-AD9B-40363FB32861}"/>
              </c:ext>
            </c:extLst>
          </c:dPt>
          <c:cat>
            <c:strRef>
              <c:f>'Pivot Tables'!$F$5:$F$7</c:f>
              <c:strCache>
                <c:ptCount val="2"/>
                <c:pt idx="0">
                  <c:v>Female</c:v>
                </c:pt>
                <c:pt idx="1">
                  <c:v>Male</c:v>
                </c:pt>
              </c:strCache>
            </c:strRef>
          </c:cat>
          <c:val>
            <c:numRef>
              <c:f>'Pivot Tables'!$G$5:$G$7</c:f>
              <c:numCache>
                <c:formatCode>0.000</c:formatCode>
                <c:ptCount val="2"/>
                <c:pt idx="0">
                  <c:v>0.70028165640753304</c:v>
                </c:pt>
                <c:pt idx="1">
                  <c:v>0.68829623781924509</c:v>
                </c:pt>
              </c:numCache>
            </c:numRef>
          </c:val>
          <c:shape val="cylinder"/>
          <c:extLst>
            <c:ext xmlns:c16="http://schemas.microsoft.com/office/drawing/2014/chart" uri="{C3380CC4-5D6E-409C-BE32-E72D297353CC}">
              <c16:uniqueId val="{00000004-D55A-46A9-AD9B-40363FB32861}"/>
            </c:ext>
          </c:extLst>
        </c:ser>
        <c:dLbls>
          <c:showLegendKey val="0"/>
          <c:showVal val="0"/>
          <c:showCatName val="0"/>
          <c:showSerName val="0"/>
          <c:showPercent val="0"/>
          <c:showBubbleSize val="0"/>
        </c:dLbls>
        <c:gapWidth val="90"/>
        <c:gapDepth val="147"/>
        <c:shape val="box"/>
        <c:axId val="215273247"/>
        <c:axId val="215264127"/>
        <c:axId val="0"/>
      </c:bar3DChart>
      <c:catAx>
        <c:axId val="21527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15264127"/>
        <c:crosses val="autoZero"/>
        <c:auto val="1"/>
        <c:lblAlgn val="ctr"/>
        <c:lblOffset val="100"/>
        <c:noMultiLvlLbl val="0"/>
      </c:catAx>
      <c:valAx>
        <c:axId val="215264127"/>
        <c:scaling>
          <c:orientation val="minMax"/>
          <c:min val="0.68000000000000016"/>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1527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[36th-NSM-Excell-Dashboard-Arnobit.xlsx]Pivot Tables!PivotTable8</c:name>
    <c:fmtId val="12"/>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 Tables'!$K$4</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1584-47FE-94CC-68BCB04D8005}"/>
              </c:ext>
            </c:extLst>
          </c:dPt>
          <c:dPt>
            <c:idx val="1"/>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3-1584-47FE-94CC-68BCB04D8005}"/>
              </c:ext>
            </c:extLst>
          </c:dPt>
          <c:dPt>
            <c:idx val="2"/>
            <c:invertIfNegative val="0"/>
            <c:bubble3D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5-1584-47FE-94CC-68BCB04D8005}"/>
              </c:ext>
            </c:extLst>
          </c:dPt>
          <c:dPt>
            <c:idx val="3"/>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c:ext xmlns:c16="http://schemas.microsoft.com/office/drawing/2014/chart" uri="{C3380CC4-5D6E-409C-BE32-E72D297353CC}">
                <c16:uniqueId val="{00000007-1584-47FE-94CC-68BCB04D8005}"/>
              </c:ext>
            </c:extLst>
          </c:dPt>
          <c:dPt>
            <c:idx val="4"/>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9-1584-47FE-94CC-68BCB04D8005}"/>
              </c:ext>
            </c:extLst>
          </c:dPt>
          <c:cat>
            <c:strRef>
              <c:f>'Pivot Tables'!$J$5:$J$10</c:f>
              <c:strCache>
                <c:ptCount val="5"/>
                <c:pt idx="0">
                  <c:v>2018</c:v>
                </c:pt>
                <c:pt idx="1">
                  <c:v>2019</c:v>
                </c:pt>
                <c:pt idx="2">
                  <c:v>2020</c:v>
                </c:pt>
                <c:pt idx="3">
                  <c:v>2021</c:v>
                </c:pt>
                <c:pt idx="4">
                  <c:v>2022</c:v>
                </c:pt>
              </c:strCache>
            </c:strRef>
          </c:cat>
          <c:val>
            <c:numRef>
              <c:f>'Pivot Tables'!$K$5:$K$10</c:f>
              <c:numCache>
                <c:formatCode>0.000</c:formatCode>
                <c:ptCount val="5"/>
                <c:pt idx="0">
                  <c:v>0.69179443247736327</c:v>
                </c:pt>
                <c:pt idx="1">
                  <c:v>0.70117025696251201</c:v>
                </c:pt>
                <c:pt idx="2">
                  <c:v>0.69425392030199617</c:v>
                </c:pt>
                <c:pt idx="3">
                  <c:v>0.68452476939227747</c:v>
                </c:pt>
                <c:pt idx="4">
                  <c:v>0.69970135643279674</c:v>
                </c:pt>
              </c:numCache>
            </c:numRef>
          </c:val>
          <c:extLst>
            <c:ext xmlns:c16="http://schemas.microsoft.com/office/drawing/2014/chart" uri="{C3380CC4-5D6E-409C-BE32-E72D297353CC}">
              <c16:uniqueId val="{0000000A-1584-47FE-94CC-68BCB04D8005}"/>
            </c:ext>
          </c:extLst>
        </c:ser>
        <c:dLbls>
          <c:showLegendKey val="0"/>
          <c:showVal val="0"/>
          <c:showCatName val="0"/>
          <c:showSerName val="0"/>
          <c:showPercent val="0"/>
          <c:showBubbleSize val="0"/>
        </c:dLbls>
        <c:gapWidth val="65"/>
        <c:shape val="box"/>
        <c:axId val="342414479"/>
        <c:axId val="342414959"/>
        <c:axId val="0"/>
      </c:bar3DChart>
      <c:catAx>
        <c:axId val="342414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2414959"/>
        <c:crosses val="autoZero"/>
        <c:auto val="1"/>
        <c:lblAlgn val="ctr"/>
        <c:lblOffset val="100"/>
        <c:noMultiLvlLbl val="0"/>
      </c:catAx>
      <c:valAx>
        <c:axId val="342414959"/>
        <c:scaling>
          <c:orientation val="minMax"/>
          <c:min val="0.68000000000000016"/>
        </c:scaling>
        <c:delete val="0"/>
        <c:axPos val="l"/>
        <c:majorGridlines>
          <c:spPr>
            <a:ln w="9525" cap="flat" cmpd="sng" algn="ctr">
              <a:solidFill>
                <a:schemeClr val="dk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2414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[36th-NSM-Excell-Dashboard-Arnobit.xlsx]Pivot Tables!PivotTable1</c:name>
    <c:fmtId val="47"/>
  </c:pivotSource>
  <c:chart>
    <c:autoTitleDeleted val="1"/>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00"/>
          </a:solidFill>
          <a:ln w="9525" cap="flat" cmpd="sng" algn="ctr">
            <a:solidFill>
              <a:schemeClr val="lt1">
                <a:alpha val="50000"/>
              </a:schemeClr>
            </a:solidFill>
            <a:round/>
          </a:ln>
          <a:effectLst/>
        </c:spPr>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6600"/>
          </a:solidFill>
          <a:ln w="9525" cap="flat" cmpd="sng" algn="ctr">
            <a:solidFill>
              <a:schemeClr val="lt1">
                <a:alpha val="50000"/>
              </a:schemeClr>
            </a:solidFill>
            <a:round/>
          </a:ln>
          <a:effectLst/>
        </c:spPr>
      </c:pivotFmt>
      <c:pivotFmt>
        <c:idx val="4"/>
        <c:spPr>
          <a:solidFill>
            <a:schemeClr val="accent6">
              <a:lumMod val="75000"/>
              <a:alpha val="85000"/>
            </a:schemeClr>
          </a:solidFill>
          <a:ln w="82550" cap="rnd"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alpha val="85000"/>
            </a:schemeClr>
          </a:solidFill>
          <a:ln w="82550" cap="rnd" cmpd="sng" algn="ctr">
            <a:solidFill>
              <a:schemeClr val="lt1">
                <a:alpha val="50000"/>
              </a:schemeClr>
            </a:solidFill>
            <a:round/>
          </a:ln>
          <a:effectLst/>
        </c:spPr>
      </c:pivotFmt>
    </c:pivotFmts>
    <c:plotArea>
      <c:layout/>
      <c:barChart>
        <c:barDir val="bar"/>
        <c:grouping val="clustered"/>
        <c:varyColors val="0"/>
        <c:ser>
          <c:idx val="0"/>
          <c:order val="0"/>
          <c:tx>
            <c:strRef>
              <c:f>'Pivot Tables'!$C$4</c:f>
              <c:strCache>
                <c:ptCount val="1"/>
                <c:pt idx="0">
                  <c:v>Total</c:v>
                </c:pt>
              </c:strCache>
            </c:strRef>
          </c:tx>
          <c:spPr>
            <a:solidFill>
              <a:schemeClr val="accent6">
                <a:lumMod val="75000"/>
                <a:alpha val="85000"/>
              </a:schemeClr>
            </a:solidFill>
            <a:ln w="82550" cap="rnd" cmpd="sng" algn="ctr">
              <a:solidFill>
                <a:schemeClr val="lt1">
                  <a:alpha val="50000"/>
                </a:schemeClr>
              </a:solidFill>
              <a:round/>
            </a:ln>
            <a:effectLst/>
          </c:spPr>
          <c:invertIfNegative val="0"/>
          <c:dPt>
            <c:idx val="9"/>
            <c:invertIfNegative val="0"/>
            <c:bubble3D val="0"/>
            <c:spPr>
              <a:solidFill>
                <a:schemeClr val="accent6">
                  <a:lumMod val="75000"/>
                  <a:alpha val="85000"/>
                </a:schemeClr>
              </a:solidFill>
              <a:ln w="82550" cap="rnd" cmpd="sng" algn="ctr">
                <a:solidFill>
                  <a:schemeClr val="lt1">
                    <a:alpha val="50000"/>
                  </a:schemeClr>
                </a:solidFill>
                <a:round/>
              </a:ln>
              <a:effectLst/>
            </c:spPr>
            <c:extLst>
              <c:ext xmlns:c16="http://schemas.microsoft.com/office/drawing/2014/chart" uri="{C3380CC4-5D6E-409C-BE32-E72D297353CC}">
                <c16:uniqueId val="{00000001-3627-4097-8E14-04D63395AC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Tables'!$B$5:$B$22</c:f>
              <c:strCache>
                <c:ptCount val="17"/>
                <c:pt idx="0">
                  <c:v>ARMM</c:v>
                </c:pt>
                <c:pt idx="1">
                  <c:v>Region XII</c:v>
                </c:pt>
                <c:pt idx="2">
                  <c:v>Region IX</c:v>
                </c:pt>
                <c:pt idx="3">
                  <c:v>Region V</c:v>
                </c:pt>
                <c:pt idx="4">
                  <c:v>Region IVB</c:v>
                </c:pt>
                <c:pt idx="5">
                  <c:v>Region VIII</c:v>
                </c:pt>
                <c:pt idx="6">
                  <c:v>Region VII</c:v>
                </c:pt>
                <c:pt idx="7">
                  <c:v>Region VI</c:v>
                </c:pt>
                <c:pt idx="8">
                  <c:v>Region XI</c:v>
                </c:pt>
                <c:pt idx="9">
                  <c:v>Region X</c:v>
                </c:pt>
                <c:pt idx="10">
                  <c:v>Region XIII</c:v>
                </c:pt>
                <c:pt idx="11">
                  <c:v>Region II</c:v>
                </c:pt>
                <c:pt idx="12">
                  <c:v>Region I</c:v>
                </c:pt>
                <c:pt idx="13">
                  <c:v>Region III</c:v>
                </c:pt>
                <c:pt idx="14">
                  <c:v>Region IVA</c:v>
                </c:pt>
                <c:pt idx="15">
                  <c:v>CAR</c:v>
                </c:pt>
                <c:pt idx="16">
                  <c:v>NCR</c:v>
                </c:pt>
              </c:strCache>
            </c:strRef>
          </c:cat>
          <c:val>
            <c:numRef>
              <c:f>'Pivot Tables'!$C$5:$C$22</c:f>
              <c:numCache>
                <c:formatCode>0.000</c:formatCode>
                <c:ptCount val="17"/>
                <c:pt idx="0">
                  <c:v>0.60870235320734778</c:v>
                </c:pt>
                <c:pt idx="1">
                  <c:v>0.66885668490130057</c:v>
                </c:pt>
                <c:pt idx="2">
                  <c:v>0.67020433977863025</c:v>
                </c:pt>
                <c:pt idx="3">
                  <c:v>0.67580904078597648</c:v>
                </c:pt>
                <c:pt idx="4">
                  <c:v>0.68310310625045323</c:v>
                </c:pt>
                <c:pt idx="5">
                  <c:v>0.68874694836904349</c:v>
                </c:pt>
                <c:pt idx="6">
                  <c:v>0.68929910789260251</c:v>
                </c:pt>
                <c:pt idx="7">
                  <c:v>0.69322840449236911</c:v>
                </c:pt>
                <c:pt idx="8">
                  <c:v>0.69613645317612938</c:v>
                </c:pt>
                <c:pt idx="9">
                  <c:v>0.69838352137533843</c:v>
                </c:pt>
                <c:pt idx="10">
                  <c:v>0.69922564714200308</c:v>
                </c:pt>
                <c:pt idx="11">
                  <c:v>0.70431594327362634</c:v>
                </c:pt>
                <c:pt idx="12">
                  <c:v>0.70586810306812597</c:v>
                </c:pt>
                <c:pt idx="13">
                  <c:v>0.71862098827273602</c:v>
                </c:pt>
                <c:pt idx="14">
                  <c:v>0.72199057004434475</c:v>
                </c:pt>
                <c:pt idx="15">
                  <c:v>0.73135605454321262</c:v>
                </c:pt>
                <c:pt idx="16">
                  <c:v>0.74906483435437432</c:v>
                </c:pt>
              </c:numCache>
            </c:numRef>
          </c:val>
          <c:extLst>
            <c:ext xmlns:c16="http://schemas.microsoft.com/office/drawing/2014/chart" uri="{C3380CC4-5D6E-409C-BE32-E72D297353CC}">
              <c16:uniqueId val="{00000002-3627-4097-8E14-04D63395AC61}"/>
            </c:ext>
          </c:extLst>
        </c:ser>
        <c:dLbls>
          <c:dLblPos val="inEnd"/>
          <c:showLegendKey val="0"/>
          <c:showVal val="1"/>
          <c:showCatName val="0"/>
          <c:showSerName val="0"/>
          <c:showPercent val="0"/>
          <c:showBubbleSize val="0"/>
        </c:dLbls>
        <c:gapWidth val="65"/>
        <c:axId val="1508890624"/>
        <c:axId val="1508902144"/>
      </c:barChart>
      <c:catAx>
        <c:axId val="1508890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Aptos Display" panose="020B0004020202020204" pitchFamily="34" charset="0"/>
                <a:ea typeface="+mn-ea"/>
                <a:cs typeface="+mn-cs"/>
              </a:defRPr>
            </a:pPr>
            <a:endParaRPr lang="en-US"/>
          </a:p>
        </c:txPr>
        <c:crossAx val="1508902144"/>
        <c:crosses val="autoZero"/>
        <c:auto val="1"/>
        <c:lblAlgn val="ctr"/>
        <c:lblOffset val="100"/>
        <c:noMultiLvlLbl val="0"/>
      </c:catAx>
      <c:valAx>
        <c:axId val="1508902144"/>
        <c:scaling>
          <c:orientation val="minMax"/>
          <c:min val="0.60000000000000009"/>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crossAx val="150889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4.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chart" Target="../charts/chart3.xml"/><Relationship Id="rId2" Type="http://schemas.openxmlformats.org/officeDocument/2006/relationships/chart" Target="../charts/chart2.xml"/><Relationship Id="rId16" Type="http://schemas.openxmlformats.org/officeDocument/2006/relationships/image" Target="../media/image7.gif"/><Relationship Id="rId1" Type="http://schemas.openxmlformats.org/officeDocument/2006/relationships/chart" Target="../charts/chart1.xml"/><Relationship Id="rId6" Type="http://schemas.openxmlformats.org/officeDocument/2006/relationships/hyperlink" Target="#'Pivot Tables'!A1"/><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hyperlink" Target="#Data!A1"/><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ivot Tables'!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svg"/><Relationship Id="rId7" Type="http://schemas.openxmlformats.org/officeDocument/2006/relationships/hyperlink" Target="#'Pivot Table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Data!A1"/><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369570</xdr:colOff>
      <xdr:row>33</xdr:row>
      <xdr:rowOff>83820</xdr:rowOff>
    </xdr:from>
    <xdr:to>
      <xdr:col>11</xdr:col>
      <xdr:colOff>262890</xdr:colOff>
      <xdr:row>55</xdr:row>
      <xdr:rowOff>75901</xdr:rowOff>
    </xdr:to>
    <xdr:grpSp>
      <xdr:nvGrpSpPr>
        <xdr:cNvPr id="2" name="Group 1">
          <a:extLst>
            <a:ext uri="{FF2B5EF4-FFF2-40B4-BE49-F238E27FC236}">
              <a16:creationId xmlns:a16="http://schemas.microsoft.com/office/drawing/2014/main" id="{1D30AB17-58AE-AD39-0789-BC8564ABEA88}"/>
            </a:ext>
          </a:extLst>
        </xdr:cNvPr>
        <xdr:cNvGrpSpPr/>
      </xdr:nvGrpSpPr>
      <xdr:grpSpPr>
        <a:xfrm>
          <a:off x="1383030" y="7482840"/>
          <a:ext cx="8869680" cy="4015441"/>
          <a:chOff x="6610597" y="189139"/>
          <a:chExt cx="9564554" cy="3841841"/>
        </a:xfrm>
        <a:solidFill>
          <a:srgbClr val="E7D9D1"/>
        </a:solidFill>
        <a:effectLst/>
      </xdr:grpSpPr>
      <xdr:sp macro="" textlink="">
        <xdr:nvSpPr>
          <xdr:cNvPr id="5" name="Rectangle: Diagonal Corners Rounded 4">
            <a:extLst>
              <a:ext uri="{FF2B5EF4-FFF2-40B4-BE49-F238E27FC236}">
                <a16:creationId xmlns:a16="http://schemas.microsoft.com/office/drawing/2014/main" id="{1F028A44-6908-F68C-E749-C91D469B93A5}"/>
              </a:ext>
            </a:extLst>
          </xdr:cNvPr>
          <xdr:cNvSpPr/>
        </xdr:nvSpPr>
        <xdr:spPr>
          <a:xfrm>
            <a:off x="6610597" y="189139"/>
            <a:ext cx="9564554" cy="3776512"/>
          </a:xfrm>
          <a:prstGeom prst="flowChartProcess">
            <a:avLst/>
          </a:prstGeom>
          <a:solidFill>
            <a:schemeClr val="accent2">
              <a:lumMod val="20000"/>
              <a:lumOff val="80000"/>
            </a:schemeClr>
          </a:solidFill>
          <a:ln>
            <a:noFill/>
          </a:ln>
          <a:effectLst>
            <a:softEdge rad="12700"/>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600" b="1">
                <a:solidFill>
                  <a:schemeClr val="accent2">
                    <a:lumMod val="75000"/>
                  </a:schemeClr>
                </a:solidFill>
                <a:latin typeface="Aptos" panose="020B0004020202020204" pitchFamily="34" charset="0"/>
                <a:ea typeface="+mn-ea"/>
                <a:cs typeface="+mn-cs"/>
              </a:rPr>
              <a:t>Regional Human Development Index Trends (2018–2022)</a:t>
            </a:r>
          </a:p>
        </xdr:txBody>
      </xdr:sp>
      <xdr:graphicFrame macro="">
        <xdr:nvGraphicFramePr>
          <xdr:cNvPr id="6" name="Chart 5">
            <a:extLst>
              <a:ext uri="{FF2B5EF4-FFF2-40B4-BE49-F238E27FC236}">
                <a16:creationId xmlns:a16="http://schemas.microsoft.com/office/drawing/2014/main" id="{EDB0E804-42D9-3571-B511-EBCE40616CE0}"/>
              </a:ext>
            </a:extLst>
          </xdr:cNvPr>
          <xdr:cNvGraphicFramePr/>
        </xdr:nvGraphicFramePr>
        <xdr:xfrm>
          <a:off x="7450667" y="635844"/>
          <a:ext cx="6849533" cy="3395136"/>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22CB25F-95CC-25AE-D009-07FA0A5B1CBE}"/>
                  </a:ext>
                </a:extLst>
              </xdr:cNvPr>
              <xdr:cNvGraphicFramePr/>
            </xdr:nvGraphicFramePr>
            <xdr:xfrm>
              <a:off x="13898880" y="754379"/>
              <a:ext cx="1967653" cy="314706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41812" y="8073621"/>
                <a:ext cx="1824701" cy="3289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304800</xdr:colOff>
      <xdr:row>56</xdr:row>
      <xdr:rowOff>45720</xdr:rowOff>
    </xdr:from>
    <xdr:to>
      <xdr:col>11</xdr:col>
      <xdr:colOff>198120</xdr:colOff>
      <xdr:row>75</xdr:row>
      <xdr:rowOff>30480</xdr:rowOff>
    </xdr:to>
    <xdr:grpSp>
      <xdr:nvGrpSpPr>
        <xdr:cNvPr id="69" name="Group 68">
          <a:extLst>
            <a:ext uri="{FF2B5EF4-FFF2-40B4-BE49-F238E27FC236}">
              <a16:creationId xmlns:a16="http://schemas.microsoft.com/office/drawing/2014/main" id="{1D684572-3D1B-5B05-C3F0-8BA7B8E72D8C}"/>
            </a:ext>
          </a:extLst>
        </xdr:cNvPr>
        <xdr:cNvGrpSpPr/>
      </xdr:nvGrpSpPr>
      <xdr:grpSpPr>
        <a:xfrm>
          <a:off x="1318260" y="11650980"/>
          <a:ext cx="8869680" cy="3459480"/>
          <a:chOff x="9766694" y="6027420"/>
          <a:chExt cx="6867766" cy="3878580"/>
        </a:xfrm>
        <a:solidFill>
          <a:schemeClr val="accent5">
            <a:lumMod val="20000"/>
            <a:lumOff val="80000"/>
          </a:schemeClr>
        </a:solidFill>
      </xdr:grpSpPr>
      <xdr:sp macro="" textlink="">
        <xdr:nvSpPr>
          <xdr:cNvPr id="22" name="Rectangle: Rounded Corners 21">
            <a:extLst>
              <a:ext uri="{FF2B5EF4-FFF2-40B4-BE49-F238E27FC236}">
                <a16:creationId xmlns:a16="http://schemas.microsoft.com/office/drawing/2014/main" id="{786C9457-8BB0-4530-BB71-B015E4737AE4}"/>
              </a:ext>
            </a:extLst>
          </xdr:cNvPr>
          <xdr:cNvSpPr/>
        </xdr:nvSpPr>
        <xdr:spPr>
          <a:xfrm>
            <a:off x="9766694" y="6027420"/>
            <a:ext cx="6867766" cy="3878580"/>
          </a:xfrm>
          <a:prstGeom prst="flowChartProcess">
            <a:avLst/>
          </a:prstGeom>
          <a:grpFill/>
          <a:ln>
            <a:noFill/>
          </a:ln>
          <a:effectLst>
            <a:outerShdw blurRad="76200" dist="114300" dir="5400000" algn="t" rotWithShape="0">
              <a:prstClr val="black">
                <a:alpha val="40000"/>
              </a:prstClr>
            </a:outerShdw>
            <a:softEdge rad="12700"/>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1">
                <a:solidFill>
                  <a:schemeClr val="accent5">
                    <a:lumMod val="75000"/>
                  </a:schemeClr>
                </a:solidFill>
                <a:latin typeface="Aptos" panose="020B0004020202020204" pitchFamily="34" charset="0"/>
                <a:ea typeface="+mn-ea"/>
                <a:cs typeface="+mn-cs"/>
              </a:rPr>
              <a:t>HDI Trends by Sex</a:t>
            </a:r>
            <a:r>
              <a:rPr lang="en-US" sz="2600" b="1" baseline="0">
                <a:solidFill>
                  <a:schemeClr val="accent5">
                    <a:lumMod val="75000"/>
                  </a:schemeClr>
                </a:solidFill>
                <a:latin typeface="Aptos" panose="020B0004020202020204" pitchFamily="34" charset="0"/>
                <a:ea typeface="+mn-ea"/>
                <a:cs typeface="+mn-cs"/>
              </a:rPr>
              <a:t> (</a:t>
            </a:r>
            <a:r>
              <a:rPr lang="en-US" sz="2600" b="1">
                <a:solidFill>
                  <a:schemeClr val="accent5">
                    <a:lumMod val="75000"/>
                  </a:schemeClr>
                </a:solidFill>
                <a:latin typeface="Aptos" panose="020B0004020202020204" pitchFamily="34" charset="0"/>
                <a:ea typeface="+mn-ea"/>
                <a:cs typeface="+mn-cs"/>
              </a:rPr>
              <a:t>2018–2022)</a:t>
            </a:r>
          </a:p>
        </xdr:txBody>
      </xdr:sp>
      <xdr:graphicFrame macro="">
        <xdr:nvGraphicFramePr>
          <xdr:cNvPr id="17" name="Chart 16">
            <a:extLst>
              <a:ext uri="{FF2B5EF4-FFF2-40B4-BE49-F238E27FC236}">
                <a16:creationId xmlns:a16="http://schemas.microsoft.com/office/drawing/2014/main" id="{6AD845ED-1216-4782-9D15-4D519C1E2DC1}"/>
              </a:ext>
            </a:extLst>
          </xdr:cNvPr>
          <xdr:cNvGraphicFramePr>
            <a:graphicFrameLocks/>
          </xdr:cNvGraphicFramePr>
        </xdr:nvGraphicFramePr>
        <xdr:xfrm>
          <a:off x="10142220" y="6766560"/>
          <a:ext cx="618744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457200</xdr:colOff>
      <xdr:row>0</xdr:row>
      <xdr:rowOff>121920</xdr:rowOff>
    </xdr:from>
    <xdr:to>
      <xdr:col>9</xdr:col>
      <xdr:colOff>7620</xdr:colOff>
      <xdr:row>0</xdr:row>
      <xdr:rowOff>731520</xdr:rowOff>
    </xdr:to>
    <xdr:grpSp>
      <xdr:nvGrpSpPr>
        <xdr:cNvPr id="56" name="Group 55">
          <a:extLst>
            <a:ext uri="{FF2B5EF4-FFF2-40B4-BE49-F238E27FC236}">
              <a16:creationId xmlns:a16="http://schemas.microsoft.com/office/drawing/2014/main" id="{318DFCAA-FC64-438A-B112-4498AAB30B5A}"/>
            </a:ext>
          </a:extLst>
        </xdr:cNvPr>
        <xdr:cNvGrpSpPr/>
      </xdr:nvGrpSpPr>
      <xdr:grpSpPr>
        <a:xfrm>
          <a:off x="2758440" y="121920"/>
          <a:ext cx="5173980" cy="609600"/>
          <a:chOff x="4762500" y="3451860"/>
          <a:chExt cx="5006340" cy="586740"/>
        </a:xfrm>
      </xdr:grpSpPr>
      <xdr:sp macro="" textlink="">
        <xdr:nvSpPr>
          <xdr:cNvPr id="57" name="Rectangle 56">
            <a:hlinkClick xmlns:r="http://schemas.openxmlformats.org/officeDocument/2006/relationships" r:id="rId3"/>
            <a:extLst>
              <a:ext uri="{FF2B5EF4-FFF2-40B4-BE49-F238E27FC236}">
                <a16:creationId xmlns:a16="http://schemas.microsoft.com/office/drawing/2014/main" id="{8D23F71E-CB33-78CA-7B08-C418381F5433}"/>
              </a:ext>
            </a:extLst>
          </xdr:cNvPr>
          <xdr:cNvSpPr/>
        </xdr:nvSpPr>
        <xdr:spPr>
          <a:xfrm>
            <a:off x="4762500" y="3451860"/>
            <a:ext cx="1668780" cy="586740"/>
          </a:xfrm>
          <a:prstGeom prst="rect">
            <a:avLst/>
          </a:prstGeom>
          <a:solidFill>
            <a:schemeClr val="bg2">
              <a:lumMod val="90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Dashboard</a:t>
            </a:r>
            <a:endParaRPr lang="en-US" sz="1100" b="1">
              <a:solidFill>
                <a:schemeClr val="tx1">
                  <a:lumMod val="85000"/>
                  <a:lumOff val="15000"/>
                </a:schemeClr>
              </a:solidFill>
              <a:latin typeface="Aptos Display" panose="020B0004020202020204" pitchFamily="34" charset="0"/>
            </a:endParaRPr>
          </a:p>
        </xdr:txBody>
      </xdr:sp>
      <xdr:pic>
        <xdr:nvPicPr>
          <xdr:cNvPr id="58" name="Graphic 57" descr="House with solid fill">
            <a:hlinkClick xmlns:r="http://schemas.openxmlformats.org/officeDocument/2006/relationships" r:id="rId3"/>
            <a:extLst>
              <a:ext uri="{FF2B5EF4-FFF2-40B4-BE49-F238E27FC236}">
                <a16:creationId xmlns:a16="http://schemas.microsoft.com/office/drawing/2014/main" id="{0D75BC95-5FC4-76D6-4999-A2AE9AC803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15840" y="3505200"/>
            <a:ext cx="502920" cy="464234"/>
          </a:xfrm>
          <a:prstGeom prst="rect">
            <a:avLst/>
          </a:prstGeom>
        </xdr:spPr>
      </xdr:pic>
      <xdr:sp macro="" textlink="">
        <xdr:nvSpPr>
          <xdr:cNvPr id="59" name="Rectangle 58">
            <a:hlinkClick xmlns:r="http://schemas.openxmlformats.org/officeDocument/2006/relationships" r:id="rId6"/>
            <a:extLst>
              <a:ext uri="{FF2B5EF4-FFF2-40B4-BE49-F238E27FC236}">
                <a16:creationId xmlns:a16="http://schemas.microsoft.com/office/drawing/2014/main" id="{147EE0B1-B821-0618-66D3-8F38012DC27F}"/>
              </a:ext>
            </a:extLst>
          </xdr:cNvPr>
          <xdr:cNvSpPr/>
        </xdr:nvSpPr>
        <xdr:spPr>
          <a:xfrm>
            <a:off x="6431280" y="3451860"/>
            <a:ext cx="1668780" cy="586740"/>
          </a:xfrm>
          <a:prstGeom prst="rect">
            <a:avLst/>
          </a:prstGeom>
          <a:solidFill>
            <a:schemeClr val="bg2">
              <a:lumMod val="9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Tables</a:t>
            </a:r>
            <a:endParaRPr lang="en-US" sz="1100" b="1">
              <a:solidFill>
                <a:schemeClr val="tx1">
                  <a:lumMod val="85000"/>
                  <a:lumOff val="15000"/>
                </a:schemeClr>
              </a:solidFill>
              <a:latin typeface="Aptos Display" panose="020B0004020202020204" pitchFamily="34" charset="0"/>
            </a:endParaRPr>
          </a:p>
        </xdr:txBody>
      </xdr:sp>
      <xdr:pic>
        <xdr:nvPicPr>
          <xdr:cNvPr id="60" name="Graphic 59" descr="Daily calendar with solid fill">
            <a:hlinkClick xmlns:r="http://schemas.openxmlformats.org/officeDocument/2006/relationships" r:id="rId6"/>
            <a:extLst>
              <a:ext uri="{FF2B5EF4-FFF2-40B4-BE49-F238E27FC236}">
                <a16:creationId xmlns:a16="http://schemas.microsoft.com/office/drawing/2014/main" id="{7342BD0E-6B18-4A31-058B-A6A686DAB7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503963" y="3505200"/>
            <a:ext cx="464234" cy="464234"/>
          </a:xfrm>
          <a:prstGeom prst="rect">
            <a:avLst/>
          </a:prstGeom>
        </xdr:spPr>
      </xdr:pic>
      <xdr:sp macro="" textlink="">
        <xdr:nvSpPr>
          <xdr:cNvPr id="61" name="Rectangle 60">
            <a:hlinkClick xmlns:r="http://schemas.openxmlformats.org/officeDocument/2006/relationships" r:id="rId9"/>
            <a:extLst>
              <a:ext uri="{FF2B5EF4-FFF2-40B4-BE49-F238E27FC236}">
                <a16:creationId xmlns:a16="http://schemas.microsoft.com/office/drawing/2014/main" id="{332373FF-5264-25FF-68F3-44E3872D4FEF}"/>
              </a:ext>
            </a:extLst>
          </xdr:cNvPr>
          <xdr:cNvSpPr/>
        </xdr:nvSpPr>
        <xdr:spPr>
          <a:xfrm>
            <a:off x="8100060" y="3451860"/>
            <a:ext cx="1668780" cy="586740"/>
          </a:xfrm>
          <a:prstGeom prst="rect">
            <a:avLst/>
          </a:prstGeom>
          <a:solidFill>
            <a:schemeClr val="bg2">
              <a:lumMod val="9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Data</a:t>
            </a:r>
            <a:endParaRPr lang="en-US" sz="1100" b="1">
              <a:solidFill>
                <a:schemeClr val="tx1">
                  <a:lumMod val="85000"/>
                  <a:lumOff val="15000"/>
                </a:schemeClr>
              </a:solidFill>
              <a:latin typeface="Aptos Display" panose="020B0004020202020204" pitchFamily="34" charset="0"/>
            </a:endParaRPr>
          </a:p>
        </xdr:txBody>
      </xdr:sp>
      <xdr:pic>
        <xdr:nvPicPr>
          <xdr:cNvPr id="62" name="Graphic 61" descr="Bar chart with solid fill">
            <a:hlinkClick xmlns:r="http://schemas.openxmlformats.org/officeDocument/2006/relationships" r:id="rId9"/>
            <a:extLst>
              <a:ext uri="{FF2B5EF4-FFF2-40B4-BE49-F238E27FC236}">
                <a16:creationId xmlns:a16="http://schemas.microsoft.com/office/drawing/2014/main" id="{0145EDFD-80F9-E6B3-D0B7-85031B50A0A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8172743" y="3505200"/>
            <a:ext cx="464234" cy="464234"/>
          </a:xfrm>
          <a:prstGeom prst="rect">
            <a:avLst/>
          </a:prstGeom>
        </xdr:spPr>
      </xdr:pic>
    </xdr:grpSp>
    <xdr:clientData/>
  </xdr:twoCellAnchor>
  <xdr:oneCellAnchor>
    <xdr:from>
      <xdr:col>1</xdr:col>
      <xdr:colOff>266700</xdr:colOff>
      <xdr:row>0</xdr:row>
      <xdr:rowOff>197629</xdr:rowOff>
    </xdr:from>
    <xdr:ext cx="2247900" cy="442942"/>
    <xdr:sp macro="" textlink="">
      <xdr:nvSpPr>
        <xdr:cNvPr id="63" name="TextBox 62">
          <a:extLst>
            <a:ext uri="{FF2B5EF4-FFF2-40B4-BE49-F238E27FC236}">
              <a16:creationId xmlns:a16="http://schemas.microsoft.com/office/drawing/2014/main" id="{5A8FD204-7556-4F22-802C-B38732293738}"/>
            </a:ext>
          </a:extLst>
        </xdr:cNvPr>
        <xdr:cNvSpPr txBox="1"/>
      </xdr:nvSpPr>
      <xdr:spPr>
        <a:xfrm>
          <a:off x="441960" y="197629"/>
          <a:ext cx="2247900" cy="44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b="1" i="0" u="none" strike="noStrike">
              <a:solidFill>
                <a:schemeClr val="tx1">
                  <a:lumMod val="65000"/>
                  <a:lumOff val="35000"/>
                </a:schemeClr>
              </a:solidFill>
              <a:effectLst/>
              <a:latin typeface="Book Antiqua" panose="02040602050305030304" pitchFamily="18" charset="0"/>
              <a:ea typeface="+mn-ea"/>
              <a:cs typeface="+mn-cs"/>
            </a:rPr>
            <a:t>2018-2022</a:t>
          </a:r>
          <a:r>
            <a:rPr lang="en-US" sz="1100" b="1" i="0" u="none" strike="noStrike" baseline="0">
              <a:solidFill>
                <a:schemeClr val="tx1">
                  <a:lumMod val="65000"/>
                  <a:lumOff val="35000"/>
                </a:schemeClr>
              </a:solidFill>
              <a:effectLst/>
              <a:latin typeface="Book Antiqua" panose="02040602050305030304" pitchFamily="18" charset="0"/>
              <a:ea typeface="+mn-ea"/>
              <a:cs typeface="+mn-cs"/>
            </a:rPr>
            <a:t> </a:t>
          </a:r>
          <a:r>
            <a:rPr lang="en-US" sz="1100" b="0" i="0" u="none" strike="noStrike">
              <a:solidFill>
                <a:schemeClr val="tx1">
                  <a:lumMod val="65000"/>
                  <a:lumOff val="35000"/>
                </a:schemeClr>
              </a:solidFill>
              <a:effectLst/>
              <a:latin typeface="Book Antiqua" panose="02040602050305030304" pitchFamily="18" charset="0"/>
              <a:ea typeface="+mn-ea"/>
              <a:cs typeface="+mn-cs"/>
            </a:rPr>
            <a:t>Human Development Index  (HDI)</a:t>
          </a:r>
          <a:r>
            <a:rPr lang="en-US" sz="1100" b="1" i="0" u="none" strike="noStrike">
              <a:solidFill>
                <a:schemeClr val="tx1">
                  <a:lumMod val="65000"/>
                  <a:lumOff val="35000"/>
                </a:schemeClr>
              </a:solidFill>
              <a:effectLst/>
              <a:latin typeface="Book Antiqua" panose="02040602050305030304" pitchFamily="18" charset="0"/>
              <a:ea typeface="+mn-ea"/>
              <a:cs typeface="+mn-cs"/>
            </a:rPr>
            <a:t> Analysis Report</a:t>
          </a:r>
          <a:r>
            <a:rPr lang="en-US" sz="1100">
              <a:solidFill>
                <a:schemeClr val="tx1">
                  <a:lumMod val="65000"/>
                  <a:lumOff val="35000"/>
                </a:schemeClr>
              </a:solidFill>
              <a:latin typeface="Book Antiqua" panose="02040602050305030304" pitchFamily="18" charset="0"/>
            </a:rPr>
            <a:t> </a:t>
          </a:r>
        </a:p>
      </xdr:txBody>
    </xdr:sp>
    <xdr:clientData/>
  </xdr:oneCellAnchor>
  <xdr:twoCellAnchor>
    <xdr:from>
      <xdr:col>2</xdr:col>
      <xdr:colOff>297180</xdr:colOff>
      <xdr:row>76</xdr:row>
      <xdr:rowOff>129540</xdr:rowOff>
    </xdr:from>
    <xdr:to>
      <xdr:col>11</xdr:col>
      <xdr:colOff>190500</xdr:colOff>
      <xdr:row>97</xdr:row>
      <xdr:rowOff>160020</xdr:rowOff>
    </xdr:to>
    <xdr:grpSp>
      <xdr:nvGrpSpPr>
        <xdr:cNvPr id="72" name="Group 71">
          <a:extLst>
            <a:ext uri="{FF2B5EF4-FFF2-40B4-BE49-F238E27FC236}">
              <a16:creationId xmlns:a16="http://schemas.microsoft.com/office/drawing/2014/main" id="{0BA1C576-E86A-953F-B6AF-9D2D64EC72BA}"/>
            </a:ext>
          </a:extLst>
        </xdr:cNvPr>
        <xdr:cNvGrpSpPr/>
      </xdr:nvGrpSpPr>
      <xdr:grpSpPr>
        <a:xfrm>
          <a:off x="1310640" y="15392400"/>
          <a:ext cx="8869680" cy="3870960"/>
          <a:chOff x="1798320" y="16436340"/>
          <a:chExt cx="7513320" cy="3444240"/>
        </a:xfrm>
        <a:solidFill>
          <a:schemeClr val="accent6">
            <a:lumMod val="20000"/>
            <a:lumOff val="80000"/>
          </a:schemeClr>
        </a:solidFill>
      </xdr:grpSpPr>
      <xdr:grpSp>
        <xdr:nvGrpSpPr>
          <xdr:cNvPr id="70" name="Group 69">
            <a:extLst>
              <a:ext uri="{FF2B5EF4-FFF2-40B4-BE49-F238E27FC236}">
                <a16:creationId xmlns:a16="http://schemas.microsoft.com/office/drawing/2014/main" id="{782ABB69-5FDA-30C9-42C7-7546C185F6DB}"/>
              </a:ext>
            </a:extLst>
          </xdr:cNvPr>
          <xdr:cNvGrpSpPr/>
        </xdr:nvGrpSpPr>
        <xdr:grpSpPr>
          <a:xfrm>
            <a:off x="1798320" y="16436340"/>
            <a:ext cx="7513320" cy="3444240"/>
            <a:chOff x="12565380" y="10264140"/>
            <a:chExt cx="7452360" cy="3444240"/>
          </a:xfrm>
          <a:grpFill/>
        </xdr:grpSpPr>
        <xdr:sp macro="" textlink="">
          <xdr:nvSpPr>
            <xdr:cNvPr id="25" name="Rectangle: Rounded Corners 24">
              <a:extLst>
                <a:ext uri="{FF2B5EF4-FFF2-40B4-BE49-F238E27FC236}">
                  <a16:creationId xmlns:a16="http://schemas.microsoft.com/office/drawing/2014/main" id="{78E95EEC-BB1A-4326-B622-3A43ACF4B933}"/>
                </a:ext>
              </a:extLst>
            </xdr:cNvPr>
            <xdr:cNvSpPr/>
          </xdr:nvSpPr>
          <xdr:spPr>
            <a:xfrm>
              <a:off x="12565380" y="10264140"/>
              <a:ext cx="7444740" cy="3444240"/>
            </a:xfrm>
            <a:prstGeom prst="flowChartProcess">
              <a:avLst/>
            </a:prstGeom>
            <a:grpFill/>
            <a:ln>
              <a:noFill/>
            </a:ln>
            <a:effectLst>
              <a:outerShdw blurRad="76200" dist="114300" dir="5400000" algn="t" rotWithShape="0">
                <a:prstClr val="black">
                  <a:alpha val="40000"/>
                </a:prstClr>
              </a:outerShdw>
              <a:softEdge rad="12700"/>
            </a:effectLst>
            <a:scene3d>
              <a:camera prst="orthographicFront"/>
              <a:lightRig rig="threePt" dir="t"/>
            </a:scene3d>
            <a:sp3d>
              <a:bevelT w="101600" prst="ribl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600" b="1">
                  <a:solidFill>
                    <a:schemeClr val="accent6">
                      <a:lumMod val="75000"/>
                    </a:schemeClr>
                  </a:solidFill>
                  <a:latin typeface="Aptos" panose="020B0004020202020204" pitchFamily="34" charset="0"/>
                  <a:ea typeface="+mn-ea"/>
                  <a:cs typeface="+mn-cs"/>
                </a:rPr>
                <a:t>Regional HDI</a:t>
              </a:r>
              <a:r>
                <a:rPr lang="en-US" sz="2600" b="1" baseline="0">
                  <a:solidFill>
                    <a:schemeClr val="accent6">
                      <a:lumMod val="75000"/>
                    </a:schemeClr>
                  </a:solidFill>
                  <a:latin typeface="Aptos" panose="020B0004020202020204" pitchFamily="34" charset="0"/>
                  <a:ea typeface="+mn-ea"/>
                  <a:cs typeface="+mn-cs"/>
                </a:rPr>
                <a:t> </a:t>
              </a:r>
              <a:r>
                <a:rPr lang="en-US" sz="2600" b="1">
                  <a:solidFill>
                    <a:schemeClr val="accent6">
                      <a:lumMod val="75000"/>
                    </a:schemeClr>
                  </a:solidFill>
                  <a:latin typeface="Aptos" panose="020B0004020202020204" pitchFamily="34" charset="0"/>
                  <a:ea typeface="+mn-ea"/>
                  <a:cs typeface="+mn-cs"/>
                </a:rPr>
                <a:t>by Sex</a:t>
              </a:r>
            </a:p>
          </xdr:txBody>
        </xdr:sp>
        <xdr:graphicFrame macro="">
          <xdr:nvGraphicFramePr>
            <xdr:cNvPr id="26" name="Chart 25">
              <a:extLst>
                <a:ext uri="{FF2B5EF4-FFF2-40B4-BE49-F238E27FC236}">
                  <a16:creationId xmlns:a16="http://schemas.microsoft.com/office/drawing/2014/main" id="{E818CBF4-2569-4D7A-92C1-CF2DA6F85296}"/>
                </a:ext>
              </a:extLst>
            </xdr:cNvPr>
            <xdr:cNvGraphicFramePr>
              <a:graphicFrameLocks/>
            </xdr:cNvGraphicFramePr>
          </xdr:nvGraphicFramePr>
          <xdr:xfrm>
            <a:off x="12748260" y="10812780"/>
            <a:ext cx="7269480" cy="2735580"/>
          </xdr:xfrm>
          <a:graphic>
            <a:graphicData uri="http://schemas.openxmlformats.org/drawingml/2006/chart">
              <c:chart xmlns:c="http://schemas.openxmlformats.org/drawingml/2006/chart" xmlns:r="http://schemas.openxmlformats.org/officeDocument/2006/relationships" r:id="rId12"/>
            </a:graphicData>
          </a:graphic>
        </xdr:graphicFrame>
      </xdr:grpSp>
      <mc:AlternateContent xmlns:mc="http://schemas.openxmlformats.org/markup-compatibility/2006" xmlns:a14="http://schemas.microsoft.com/office/drawing/2010/main">
        <mc:Choice Requires="a14">
          <xdr:graphicFrame macro="">
            <xdr:nvGraphicFramePr>
              <xdr:cNvPr id="71" name="Year">
                <a:extLst>
                  <a:ext uri="{FF2B5EF4-FFF2-40B4-BE49-F238E27FC236}">
                    <a16:creationId xmlns:a16="http://schemas.microsoft.com/office/drawing/2014/main" id="{8ABA5F66-C595-C537-CC10-2635D28B68B8}"/>
                  </a:ext>
                </a:extLst>
              </xdr:cNvPr>
              <xdr:cNvGraphicFramePr/>
            </xdr:nvGraphicFramePr>
            <xdr:xfrm>
              <a:off x="5935980" y="16885921"/>
              <a:ext cx="3314700" cy="403859"/>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95261" y="15897681"/>
                <a:ext cx="3913094" cy="453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678180</xdr:colOff>
      <xdr:row>6</xdr:row>
      <xdr:rowOff>24765</xdr:rowOff>
    </xdr:from>
    <xdr:to>
      <xdr:col>11</xdr:col>
      <xdr:colOff>449580</xdr:colOff>
      <xdr:row>23</xdr:row>
      <xdr:rowOff>135255</xdr:rowOff>
    </xdr:to>
    <xdr:grpSp>
      <xdr:nvGrpSpPr>
        <xdr:cNvPr id="76" name="Group 75">
          <a:extLst>
            <a:ext uri="{FF2B5EF4-FFF2-40B4-BE49-F238E27FC236}">
              <a16:creationId xmlns:a16="http://schemas.microsoft.com/office/drawing/2014/main" id="{4710E709-256F-3665-F4E6-9606796132D0}"/>
            </a:ext>
          </a:extLst>
        </xdr:cNvPr>
        <xdr:cNvGrpSpPr/>
      </xdr:nvGrpSpPr>
      <xdr:grpSpPr>
        <a:xfrm>
          <a:off x="7574280" y="2112645"/>
          <a:ext cx="2865120" cy="3219450"/>
          <a:chOff x="-4158615" y="1171969"/>
          <a:chExt cx="7025640" cy="3821284"/>
        </a:xfrm>
        <a:solidFill>
          <a:schemeClr val="bg1"/>
        </a:solidFill>
        <a:effectLst>
          <a:glow rad="342900">
            <a:schemeClr val="accent2">
              <a:lumMod val="75000"/>
              <a:alpha val="40000"/>
            </a:schemeClr>
          </a:glow>
        </a:effectLst>
      </xdr:grpSpPr>
      <xdr:sp macro="" textlink="">
        <xdr:nvSpPr>
          <xdr:cNvPr id="80" name="Rectangle: Rounded Corners 79">
            <a:extLst>
              <a:ext uri="{FF2B5EF4-FFF2-40B4-BE49-F238E27FC236}">
                <a16:creationId xmlns:a16="http://schemas.microsoft.com/office/drawing/2014/main" id="{81EBC87B-DD3C-3770-10B5-A2675A17942B}"/>
              </a:ext>
            </a:extLst>
          </xdr:cNvPr>
          <xdr:cNvSpPr/>
        </xdr:nvSpPr>
        <xdr:spPr>
          <a:xfrm>
            <a:off x="-4158615" y="1171969"/>
            <a:ext cx="7025640" cy="3821284"/>
          </a:xfrm>
          <a:prstGeom prst="foldedCorner">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2">
                    <a:lumMod val="50000"/>
                  </a:schemeClr>
                </a:solidFill>
                <a:latin typeface="Aptos" panose="020B0004020202020204" pitchFamily="34" charset="0"/>
                <a:ea typeface="+mn-ea"/>
                <a:cs typeface="+mn-cs"/>
              </a:rPr>
              <a:t>By</a:t>
            </a:r>
            <a:r>
              <a:rPr lang="en-US" sz="2000" b="1" baseline="0">
                <a:solidFill>
                  <a:schemeClr val="accent2">
                    <a:lumMod val="50000"/>
                  </a:schemeClr>
                </a:solidFill>
                <a:latin typeface="Aptos" panose="020B0004020202020204" pitchFamily="34" charset="0"/>
              </a:rPr>
              <a:t> </a:t>
            </a:r>
            <a:r>
              <a:rPr lang="en-US" sz="3200" b="1">
                <a:solidFill>
                  <a:schemeClr val="accent2">
                    <a:lumMod val="50000"/>
                  </a:schemeClr>
                </a:solidFill>
                <a:latin typeface="Aptos" panose="020B0004020202020204" pitchFamily="34" charset="0"/>
                <a:ea typeface="+mn-ea"/>
                <a:cs typeface="+mn-cs"/>
              </a:rPr>
              <a:t>Sex</a:t>
            </a:r>
            <a:r>
              <a:rPr lang="en-US" sz="2000" b="1" baseline="0">
                <a:solidFill>
                  <a:schemeClr val="accent2">
                    <a:lumMod val="50000"/>
                  </a:schemeClr>
                </a:solidFill>
                <a:latin typeface="Aptos" panose="020B0004020202020204" pitchFamily="34" charset="0"/>
              </a:rPr>
              <a:t> </a:t>
            </a:r>
            <a:endParaRPr lang="en-US" sz="2000" b="1">
              <a:solidFill>
                <a:schemeClr val="accent2">
                  <a:lumMod val="50000"/>
                </a:schemeClr>
              </a:solidFill>
              <a:latin typeface="Aptos" panose="020B0004020202020204" pitchFamily="34" charset="0"/>
            </a:endParaRPr>
          </a:p>
        </xdr:txBody>
      </xdr:sp>
      <xdr:graphicFrame macro="">
        <xdr:nvGraphicFramePr>
          <xdr:cNvPr id="81" name="Chart 80">
            <a:extLst>
              <a:ext uri="{FF2B5EF4-FFF2-40B4-BE49-F238E27FC236}">
                <a16:creationId xmlns:a16="http://schemas.microsoft.com/office/drawing/2014/main" id="{462EC91A-7BE6-23EF-6C51-AF4254E9A9D1}"/>
              </a:ext>
            </a:extLst>
          </xdr:cNvPr>
          <xdr:cNvGraphicFramePr>
            <a:graphicFrameLocks/>
          </xdr:cNvGraphicFramePr>
        </xdr:nvGraphicFramePr>
        <xdr:xfrm>
          <a:off x="-3883565" y="1932545"/>
          <a:ext cx="6179820" cy="27432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11</xdr:col>
      <xdr:colOff>861060</xdr:colOff>
      <xdr:row>6</xdr:row>
      <xdr:rowOff>24765</xdr:rowOff>
    </xdr:from>
    <xdr:to>
      <xdr:col>17</xdr:col>
      <xdr:colOff>685800</xdr:colOff>
      <xdr:row>25</xdr:row>
      <xdr:rowOff>13335</xdr:rowOff>
    </xdr:to>
    <xdr:grpSp>
      <xdr:nvGrpSpPr>
        <xdr:cNvPr id="77" name="Group 76">
          <a:extLst>
            <a:ext uri="{FF2B5EF4-FFF2-40B4-BE49-F238E27FC236}">
              <a16:creationId xmlns:a16="http://schemas.microsoft.com/office/drawing/2014/main" id="{C9786D60-9892-1E4E-EEDB-4C5CC86C9B8B}"/>
            </a:ext>
          </a:extLst>
        </xdr:cNvPr>
        <xdr:cNvGrpSpPr/>
      </xdr:nvGrpSpPr>
      <xdr:grpSpPr>
        <a:xfrm>
          <a:off x="10850880" y="2112645"/>
          <a:ext cx="4686300" cy="3463290"/>
          <a:chOff x="1848225" y="10172889"/>
          <a:chExt cx="8844174" cy="3549092"/>
        </a:xfrm>
        <a:solidFill>
          <a:schemeClr val="bg1"/>
        </a:solidFill>
        <a:effectLst>
          <a:glow rad="342900">
            <a:schemeClr val="accent1">
              <a:alpha val="40000"/>
            </a:schemeClr>
          </a:glow>
          <a:outerShdw blurRad="127000" dist="38100" dir="13500000" sx="104000" sy="104000" algn="br" rotWithShape="0">
            <a:schemeClr val="accent5">
              <a:lumMod val="60000"/>
              <a:lumOff val="40000"/>
              <a:alpha val="38000"/>
            </a:schemeClr>
          </a:outerShdw>
        </a:effectLst>
      </xdr:grpSpPr>
      <xdr:sp macro="" textlink="">
        <xdr:nvSpPr>
          <xdr:cNvPr id="78" name="Rectangle: Rounded Corners 77">
            <a:extLst>
              <a:ext uri="{FF2B5EF4-FFF2-40B4-BE49-F238E27FC236}">
                <a16:creationId xmlns:a16="http://schemas.microsoft.com/office/drawing/2014/main" id="{F54841A5-EACA-D4B6-E32E-2BB77EC1CBC3}"/>
              </a:ext>
            </a:extLst>
          </xdr:cNvPr>
          <xdr:cNvSpPr/>
        </xdr:nvSpPr>
        <xdr:spPr>
          <a:xfrm>
            <a:off x="1848225" y="10172889"/>
            <a:ext cx="8844174" cy="3549092"/>
          </a:xfrm>
          <a:prstGeom prst="foldedCorner">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3">
                    <a:lumMod val="50000"/>
                  </a:schemeClr>
                </a:solidFill>
                <a:latin typeface="Aptos" panose="020B0004020202020204" pitchFamily="34" charset="0"/>
                <a:ea typeface="+mn-ea"/>
                <a:cs typeface="+mn-cs"/>
              </a:rPr>
              <a:t>By Year</a:t>
            </a:r>
          </a:p>
        </xdr:txBody>
      </xdr:sp>
      <xdr:graphicFrame macro="">
        <xdr:nvGraphicFramePr>
          <xdr:cNvPr id="79" name="Chart 78">
            <a:extLst>
              <a:ext uri="{FF2B5EF4-FFF2-40B4-BE49-F238E27FC236}">
                <a16:creationId xmlns:a16="http://schemas.microsoft.com/office/drawing/2014/main" id="{08CE46F1-BA2E-47F2-A2FD-7A32CCFDADC8}"/>
              </a:ext>
            </a:extLst>
          </xdr:cNvPr>
          <xdr:cNvGraphicFramePr>
            <a:graphicFrameLocks/>
          </xdr:cNvGraphicFramePr>
        </xdr:nvGraphicFramePr>
        <xdr:xfrm>
          <a:off x="2036485" y="10782677"/>
          <a:ext cx="7993379" cy="27432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xdr:col>
      <xdr:colOff>342900</xdr:colOff>
      <xdr:row>3</xdr:row>
      <xdr:rowOff>167640</xdr:rowOff>
    </xdr:from>
    <xdr:to>
      <xdr:col>17</xdr:col>
      <xdr:colOff>624840</xdr:colOff>
      <xdr:row>4</xdr:row>
      <xdr:rowOff>68580</xdr:rowOff>
    </xdr:to>
    <xdr:cxnSp macro="">
      <xdr:nvCxnSpPr>
        <xdr:cNvPr id="113" name="Straight Connector 112">
          <a:extLst>
            <a:ext uri="{FF2B5EF4-FFF2-40B4-BE49-F238E27FC236}">
              <a16:creationId xmlns:a16="http://schemas.microsoft.com/office/drawing/2014/main" id="{CD4994E7-7B18-09A7-8634-83270321EB1A}"/>
            </a:ext>
          </a:extLst>
        </xdr:cNvPr>
        <xdr:cNvCxnSpPr/>
      </xdr:nvCxnSpPr>
      <xdr:spPr>
        <a:xfrm flipV="1">
          <a:off x="518160" y="1706880"/>
          <a:ext cx="14958060" cy="83820"/>
        </a:xfrm>
        <a:prstGeom prst="line">
          <a:avLst/>
        </a:prstGeom>
        <a:ln w="41275">
          <a:gradFill flip="none" rotWithShape="1">
            <a:gsLst>
              <a:gs pos="0">
                <a:schemeClr val="accent3">
                  <a:alpha val="32000"/>
                  <a:lumMod val="91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373380</xdr:colOff>
      <xdr:row>6</xdr:row>
      <xdr:rowOff>24765</xdr:rowOff>
    </xdr:from>
    <xdr:to>
      <xdr:col>8</xdr:col>
      <xdr:colOff>236221</xdr:colOff>
      <xdr:row>24</xdr:row>
      <xdr:rowOff>173355</xdr:rowOff>
    </xdr:to>
    <xdr:grpSp>
      <xdr:nvGrpSpPr>
        <xdr:cNvPr id="98" name="Group 97">
          <a:extLst>
            <a:ext uri="{FF2B5EF4-FFF2-40B4-BE49-F238E27FC236}">
              <a16:creationId xmlns:a16="http://schemas.microsoft.com/office/drawing/2014/main" id="{CE3DDF63-F92D-D10E-2091-2021C283F69C}"/>
            </a:ext>
          </a:extLst>
        </xdr:cNvPr>
        <xdr:cNvGrpSpPr/>
      </xdr:nvGrpSpPr>
      <xdr:grpSpPr>
        <a:xfrm>
          <a:off x="548640" y="2112645"/>
          <a:ext cx="6583681" cy="3440430"/>
          <a:chOff x="5852160" y="845820"/>
          <a:chExt cx="6583681" cy="3440430"/>
        </a:xfrm>
        <a:effectLst>
          <a:glow rad="342900">
            <a:schemeClr val="accent4">
              <a:lumMod val="75000"/>
              <a:alpha val="40000"/>
            </a:schemeClr>
          </a:glow>
        </a:effectLst>
      </xdr:grpSpPr>
      <xdr:sp macro="" textlink="">
        <xdr:nvSpPr>
          <xdr:cNvPr id="3" name="Rectangle: Folded Corner 2">
            <a:extLst>
              <a:ext uri="{FF2B5EF4-FFF2-40B4-BE49-F238E27FC236}">
                <a16:creationId xmlns:a16="http://schemas.microsoft.com/office/drawing/2014/main" id="{4204B1DE-E598-1EE2-971D-3C039AFD61B9}"/>
              </a:ext>
            </a:extLst>
          </xdr:cNvPr>
          <xdr:cNvSpPr/>
        </xdr:nvSpPr>
        <xdr:spPr>
          <a:xfrm>
            <a:off x="5852160" y="845820"/>
            <a:ext cx="6583681" cy="3440430"/>
          </a:xfrm>
          <a:prstGeom prst="foldedCorner">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4">
                    <a:lumMod val="50000"/>
                  </a:schemeClr>
                </a:solidFill>
                <a:latin typeface="Aptos" panose="020B0004020202020204" pitchFamily="34" charset="0"/>
              </a:rPr>
              <a:t>By</a:t>
            </a:r>
            <a:r>
              <a:rPr lang="en-US" sz="3200" b="1" baseline="0">
                <a:solidFill>
                  <a:schemeClr val="accent4">
                    <a:lumMod val="50000"/>
                  </a:schemeClr>
                </a:solidFill>
                <a:latin typeface="Aptos" panose="020B0004020202020204" pitchFamily="34" charset="0"/>
              </a:rPr>
              <a:t> </a:t>
            </a:r>
            <a:r>
              <a:rPr lang="en-US" sz="3200" b="1">
                <a:solidFill>
                  <a:schemeClr val="accent4">
                    <a:lumMod val="50000"/>
                  </a:schemeClr>
                </a:solidFill>
                <a:latin typeface="Aptos" panose="020B0004020202020204" pitchFamily="34" charset="0"/>
              </a:rPr>
              <a:t>Region</a:t>
            </a:r>
          </a:p>
        </xdr:txBody>
      </xdr:sp>
      <xdr:graphicFrame macro="">
        <xdr:nvGraphicFramePr>
          <xdr:cNvPr id="4" name="Chart 3">
            <a:extLst>
              <a:ext uri="{FF2B5EF4-FFF2-40B4-BE49-F238E27FC236}">
                <a16:creationId xmlns:a16="http://schemas.microsoft.com/office/drawing/2014/main" id="{075F40A0-EB0B-ED57-E179-A9FBDEDAEE01}"/>
              </a:ext>
            </a:extLst>
          </xdr:cNvPr>
          <xdr:cNvGraphicFramePr/>
        </xdr:nvGraphicFramePr>
        <xdr:xfrm>
          <a:off x="7999828" y="1333941"/>
          <a:ext cx="4264396" cy="281833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89" name="Star: 7 Points 88">
            <a:extLst>
              <a:ext uri="{FF2B5EF4-FFF2-40B4-BE49-F238E27FC236}">
                <a16:creationId xmlns:a16="http://schemas.microsoft.com/office/drawing/2014/main" id="{E801A22E-CC74-A478-C155-6AB42D65D331}"/>
              </a:ext>
            </a:extLst>
          </xdr:cNvPr>
          <xdr:cNvSpPr/>
        </xdr:nvSpPr>
        <xdr:spPr>
          <a:xfrm>
            <a:off x="6088380" y="1684020"/>
            <a:ext cx="1965960" cy="1181100"/>
          </a:xfrm>
          <a:prstGeom prst="star7">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7" name="Picture 86">
            <a:extLst>
              <a:ext uri="{FF2B5EF4-FFF2-40B4-BE49-F238E27FC236}">
                <a16:creationId xmlns:a16="http://schemas.microsoft.com/office/drawing/2014/main" id="{7B7C0A7E-6968-3596-223B-D459F1375EC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126480" y="1635850"/>
            <a:ext cx="772069" cy="772069"/>
          </a:xfrm>
          <a:prstGeom prst="rect">
            <a:avLst/>
          </a:prstGeom>
        </xdr:spPr>
      </xdr:pic>
      <xdr:sp macro="" textlink="">
        <xdr:nvSpPr>
          <xdr:cNvPr id="90" name="TextBox 89">
            <a:extLst>
              <a:ext uri="{FF2B5EF4-FFF2-40B4-BE49-F238E27FC236}">
                <a16:creationId xmlns:a16="http://schemas.microsoft.com/office/drawing/2014/main" id="{36B82B4F-F168-59F9-A0DD-9BCCFD411E39}"/>
              </a:ext>
            </a:extLst>
          </xdr:cNvPr>
          <xdr:cNvSpPr txBox="1"/>
        </xdr:nvSpPr>
        <xdr:spPr>
          <a:xfrm>
            <a:off x="6515100" y="1905000"/>
            <a:ext cx="1179554"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rgbClr val="00B050"/>
                </a:solidFill>
              </a:rPr>
              <a:t>NCR</a:t>
            </a:r>
            <a:endParaRPr lang="en-US" sz="1100" b="1">
              <a:solidFill>
                <a:srgbClr val="00B050"/>
              </a:solidFill>
            </a:endParaRPr>
          </a:p>
          <a:p>
            <a:r>
              <a:rPr lang="en-US" sz="1200" b="1">
                <a:solidFill>
                  <a:schemeClr val="tx1">
                    <a:lumMod val="65000"/>
                    <a:lumOff val="35000"/>
                  </a:schemeClr>
                </a:solidFill>
              </a:rPr>
              <a:t>Top</a:t>
            </a:r>
            <a:r>
              <a:rPr lang="en-US" sz="1200" b="1" baseline="0">
                <a:solidFill>
                  <a:schemeClr val="tx1">
                    <a:lumMod val="65000"/>
                    <a:lumOff val="35000"/>
                  </a:schemeClr>
                </a:solidFill>
              </a:rPr>
              <a:t> Performing</a:t>
            </a:r>
            <a:endParaRPr lang="en-US" sz="700" b="1">
              <a:solidFill>
                <a:schemeClr val="tx1">
                  <a:lumMod val="65000"/>
                  <a:lumOff val="35000"/>
                </a:schemeClr>
              </a:solidFill>
            </a:endParaRPr>
          </a:p>
        </xdr:txBody>
      </xdr:sp>
      <xdr:grpSp>
        <xdr:nvGrpSpPr>
          <xdr:cNvPr id="93" name="Group 92">
            <a:extLst>
              <a:ext uri="{FF2B5EF4-FFF2-40B4-BE49-F238E27FC236}">
                <a16:creationId xmlns:a16="http://schemas.microsoft.com/office/drawing/2014/main" id="{9BEC8E06-05DF-CD8D-3EDC-96C08B4D83AB}"/>
              </a:ext>
            </a:extLst>
          </xdr:cNvPr>
          <xdr:cNvGrpSpPr/>
        </xdr:nvGrpSpPr>
        <xdr:grpSpPr>
          <a:xfrm>
            <a:off x="6271260" y="3208020"/>
            <a:ext cx="1630680" cy="617220"/>
            <a:chOff x="6217920" y="3337560"/>
            <a:chExt cx="1630680" cy="617220"/>
          </a:xfrm>
        </xdr:grpSpPr>
        <xdr:sp macro="" textlink="">
          <xdr:nvSpPr>
            <xdr:cNvPr id="91" name="Rectangle: Top Corners Rounded 90">
              <a:extLst>
                <a:ext uri="{FF2B5EF4-FFF2-40B4-BE49-F238E27FC236}">
                  <a16:creationId xmlns:a16="http://schemas.microsoft.com/office/drawing/2014/main" id="{6C198EB4-C0B6-9346-8C89-5094BD48EDA6}"/>
                </a:ext>
              </a:extLst>
            </xdr:cNvPr>
            <xdr:cNvSpPr/>
          </xdr:nvSpPr>
          <xdr:spPr>
            <a:xfrm>
              <a:off x="6217920" y="3337560"/>
              <a:ext cx="1630680" cy="617220"/>
            </a:xfrm>
            <a:prstGeom prst="round2Same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2" name="TextBox 91">
              <a:extLst>
                <a:ext uri="{FF2B5EF4-FFF2-40B4-BE49-F238E27FC236}">
                  <a16:creationId xmlns:a16="http://schemas.microsoft.com/office/drawing/2014/main" id="{78383BC2-0886-4C8D-B437-D56D6D37B1F0}"/>
                </a:ext>
              </a:extLst>
            </xdr:cNvPr>
            <xdr:cNvSpPr txBox="1"/>
          </xdr:nvSpPr>
          <xdr:spPr>
            <a:xfrm>
              <a:off x="6278880" y="3345180"/>
              <a:ext cx="1499770" cy="562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0070C0"/>
                  </a:solidFill>
                </a:rPr>
                <a:t>ARMM</a:t>
              </a:r>
              <a:endParaRPr lang="en-US" sz="800" b="1">
                <a:solidFill>
                  <a:srgbClr val="0070C0"/>
                </a:solidFill>
              </a:endParaRPr>
            </a:p>
            <a:p>
              <a:r>
                <a:rPr lang="en-US" sz="1200" b="1">
                  <a:solidFill>
                    <a:schemeClr val="tx1">
                      <a:lumMod val="65000"/>
                      <a:lumOff val="35000"/>
                    </a:schemeClr>
                  </a:solidFill>
                </a:rPr>
                <a:t>Lowest</a:t>
              </a:r>
              <a:r>
                <a:rPr lang="en-US" sz="1200" b="1" baseline="0">
                  <a:solidFill>
                    <a:schemeClr val="tx1">
                      <a:lumMod val="65000"/>
                      <a:lumOff val="35000"/>
                    </a:schemeClr>
                  </a:solidFill>
                </a:rPr>
                <a:t> Performance</a:t>
              </a:r>
              <a:endParaRPr lang="en-US" sz="700" b="1">
                <a:solidFill>
                  <a:schemeClr val="tx1">
                    <a:lumMod val="65000"/>
                    <a:lumOff val="35000"/>
                  </a:schemeClr>
                </a:solidFill>
              </a:endParaRPr>
            </a:p>
          </xdr:txBody>
        </xdr:sp>
      </xdr:grpSp>
    </xdr:grpSp>
    <xdr:clientData/>
  </xdr:twoCellAnchor>
  <xdr:twoCellAnchor>
    <xdr:from>
      <xdr:col>1</xdr:col>
      <xdr:colOff>342900</xdr:colOff>
      <xdr:row>30</xdr:row>
      <xdr:rowOff>129540</xdr:rowOff>
    </xdr:from>
    <xdr:to>
      <xdr:col>17</xdr:col>
      <xdr:colOff>624840</xdr:colOff>
      <xdr:row>31</xdr:row>
      <xdr:rowOff>30480</xdr:rowOff>
    </xdr:to>
    <xdr:cxnSp macro="">
      <xdr:nvCxnSpPr>
        <xdr:cNvPr id="117" name="Straight Connector 116">
          <a:extLst>
            <a:ext uri="{FF2B5EF4-FFF2-40B4-BE49-F238E27FC236}">
              <a16:creationId xmlns:a16="http://schemas.microsoft.com/office/drawing/2014/main" id="{CAB04347-41D8-458F-A492-7DE2D1C42D75}"/>
            </a:ext>
          </a:extLst>
        </xdr:cNvPr>
        <xdr:cNvCxnSpPr/>
      </xdr:nvCxnSpPr>
      <xdr:spPr>
        <a:xfrm flipV="1">
          <a:off x="518160" y="6979920"/>
          <a:ext cx="14958060" cy="83820"/>
        </a:xfrm>
        <a:prstGeom prst="line">
          <a:avLst/>
        </a:prstGeom>
        <a:ln w="41275">
          <a:gradFill flip="none" rotWithShape="1">
            <a:gsLst>
              <a:gs pos="0">
                <a:schemeClr val="accent3">
                  <a:alpha val="32000"/>
                  <a:lumMod val="91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83820</xdr:colOff>
      <xdr:row>3</xdr:row>
      <xdr:rowOff>144780</xdr:rowOff>
    </xdr:from>
    <xdr:to>
      <xdr:col>19</xdr:col>
      <xdr:colOff>129540</xdr:colOff>
      <xdr:row>14</xdr:row>
      <xdr:rowOff>38100</xdr:rowOff>
    </xdr:to>
    <xdr:sp macro="" textlink="">
      <xdr:nvSpPr>
        <xdr:cNvPr id="118" name="Star: 10 Points 117">
          <a:extLst>
            <a:ext uri="{FF2B5EF4-FFF2-40B4-BE49-F238E27FC236}">
              <a16:creationId xmlns:a16="http://schemas.microsoft.com/office/drawing/2014/main" id="{0C531A06-77E5-E3E4-F465-8F97346308FC}"/>
            </a:ext>
          </a:extLst>
        </xdr:cNvPr>
        <xdr:cNvSpPr/>
      </xdr:nvSpPr>
      <xdr:spPr>
        <a:xfrm>
          <a:off x="14935200" y="1684020"/>
          <a:ext cx="1767840" cy="1905000"/>
        </a:xfrm>
        <a:prstGeom prst="star10">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2800" b="1">
              <a:solidFill>
                <a:schemeClr val="tx1">
                  <a:lumMod val="85000"/>
                  <a:lumOff val="15000"/>
                </a:schemeClr>
              </a:solidFill>
              <a:latin typeface="Aptos" panose="020B0004020202020204" pitchFamily="34" charset="0"/>
            </a:rPr>
            <a:t>1.74%</a:t>
          </a:r>
          <a:r>
            <a:rPr lang="en-US" sz="1400" b="1">
              <a:solidFill>
                <a:schemeClr val="tx1">
                  <a:lumMod val="85000"/>
                  <a:lumOff val="15000"/>
                </a:schemeClr>
              </a:solidFill>
              <a:latin typeface="Aptos" panose="020B0004020202020204" pitchFamily="34" charset="0"/>
            </a:rPr>
            <a:t> </a:t>
          </a:r>
        </a:p>
        <a:p>
          <a:pPr algn="ctr"/>
          <a:r>
            <a:rPr lang="en-US" sz="1050">
              <a:solidFill>
                <a:schemeClr val="tx1">
                  <a:lumMod val="85000"/>
                  <a:lumOff val="15000"/>
                </a:schemeClr>
              </a:solidFill>
              <a:latin typeface="Aptos" panose="020B0004020202020204" pitchFamily="34" charset="0"/>
            </a:rPr>
            <a:t>total improvent </a:t>
          </a:r>
        </a:p>
        <a:p>
          <a:pPr algn="ctr"/>
          <a:r>
            <a:rPr lang="en-US" sz="1050">
              <a:solidFill>
                <a:schemeClr val="tx1">
                  <a:lumMod val="85000"/>
                  <a:lumOff val="15000"/>
                </a:schemeClr>
              </a:solidFill>
              <a:latin typeface="Aptos" panose="020B0004020202020204" pitchFamily="34" charset="0"/>
            </a:rPr>
            <a:t>from</a:t>
          </a:r>
          <a:r>
            <a:rPr lang="en-US" sz="1050" baseline="0">
              <a:solidFill>
                <a:schemeClr val="tx1">
                  <a:lumMod val="85000"/>
                  <a:lumOff val="15000"/>
                </a:schemeClr>
              </a:solidFill>
              <a:latin typeface="Aptos" panose="020B0004020202020204" pitchFamily="34" charset="0"/>
            </a:rPr>
            <a:t> 2018 to 2022</a:t>
          </a:r>
          <a:endParaRPr lang="en-US" sz="1200">
            <a:solidFill>
              <a:schemeClr val="tx1">
                <a:lumMod val="85000"/>
                <a:lumOff val="15000"/>
              </a:schemeClr>
            </a:solidFill>
            <a:latin typeface="Aptos" panose="020B0004020202020204" pitchFamily="34" charset="0"/>
          </a:endParaRPr>
        </a:p>
      </xdr:txBody>
    </xdr:sp>
    <xdr:clientData/>
  </xdr:twoCellAnchor>
  <xdr:twoCellAnchor>
    <xdr:from>
      <xdr:col>17</xdr:col>
      <xdr:colOff>403860</xdr:colOff>
      <xdr:row>14</xdr:row>
      <xdr:rowOff>68580</xdr:rowOff>
    </xdr:from>
    <xdr:to>
      <xdr:col>20</xdr:col>
      <xdr:colOff>38100</xdr:colOff>
      <xdr:row>25</xdr:row>
      <xdr:rowOff>7620</xdr:rowOff>
    </xdr:to>
    <xdr:sp macro="" textlink="">
      <xdr:nvSpPr>
        <xdr:cNvPr id="119" name="Star: 10 Points 118">
          <a:extLst>
            <a:ext uri="{FF2B5EF4-FFF2-40B4-BE49-F238E27FC236}">
              <a16:creationId xmlns:a16="http://schemas.microsoft.com/office/drawing/2014/main" id="{35B25361-BB62-68E0-C6E4-9EE5F2A01843}"/>
            </a:ext>
          </a:extLst>
        </xdr:cNvPr>
        <xdr:cNvSpPr/>
      </xdr:nvSpPr>
      <xdr:spPr>
        <a:xfrm>
          <a:off x="15255240" y="3619500"/>
          <a:ext cx="1965960" cy="1950720"/>
        </a:xfrm>
        <a:prstGeom prst="star10">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US" sz="2800" b="1">
              <a:solidFill>
                <a:schemeClr val="bg1">
                  <a:lumMod val="95000"/>
                </a:schemeClr>
              </a:solidFill>
              <a:latin typeface="Aptos" panose="020B0004020202020204" pitchFamily="34" charset="0"/>
              <a:ea typeface="+mn-ea"/>
              <a:cs typeface="+mn-cs"/>
            </a:rPr>
            <a:t>+2.64%</a:t>
          </a:r>
          <a:r>
            <a:rPr lang="en-US" b="0" baseline="0">
              <a:solidFill>
                <a:schemeClr val="bg1">
                  <a:lumMod val="95000"/>
                </a:schemeClr>
              </a:solidFill>
            </a:rPr>
            <a:t> </a:t>
          </a:r>
          <a:r>
            <a:rPr lang="en-US" sz="1050" baseline="0">
              <a:solidFill>
                <a:schemeClr val="bg1">
                  <a:lumMod val="95000"/>
                </a:schemeClr>
              </a:solidFill>
              <a:latin typeface="Aptos" panose="020B0004020202020204" pitchFamily="34" charset="0"/>
              <a:ea typeface="+mn-ea"/>
              <a:cs typeface="+mn-cs"/>
            </a:rPr>
            <a:t>rebound from </a:t>
          </a:r>
        </a:p>
        <a:p>
          <a:pPr algn="ctr"/>
          <a:r>
            <a:rPr lang="en-US" sz="1050" baseline="0">
              <a:solidFill>
                <a:schemeClr val="bg1">
                  <a:lumMod val="95000"/>
                </a:schemeClr>
              </a:solidFill>
              <a:latin typeface="Aptos" panose="020B0004020202020204" pitchFamily="34" charset="0"/>
              <a:ea typeface="+mn-ea"/>
              <a:cs typeface="+mn-cs"/>
            </a:rPr>
            <a:t>2021 to 2022</a:t>
          </a:r>
        </a:p>
      </xdr:txBody>
    </xdr:sp>
    <xdr:clientData/>
  </xdr:twoCellAnchor>
  <xdr:twoCellAnchor>
    <xdr:from>
      <xdr:col>10</xdr:col>
      <xdr:colOff>267843</xdr:colOff>
      <xdr:row>55</xdr:row>
      <xdr:rowOff>160020</xdr:rowOff>
    </xdr:from>
    <xdr:to>
      <xdr:col>12</xdr:col>
      <xdr:colOff>435483</xdr:colOff>
      <xdr:row>65</xdr:row>
      <xdr:rowOff>91440</xdr:rowOff>
    </xdr:to>
    <xdr:sp macro="" textlink="">
      <xdr:nvSpPr>
        <xdr:cNvPr id="120" name="Arrow: Up 119">
          <a:extLst>
            <a:ext uri="{FF2B5EF4-FFF2-40B4-BE49-F238E27FC236}">
              <a16:creationId xmlns:a16="http://schemas.microsoft.com/office/drawing/2014/main" id="{DB2CD6D5-715B-4887-97EA-F185F0FDB8CD}"/>
            </a:ext>
          </a:extLst>
        </xdr:cNvPr>
        <xdr:cNvSpPr/>
      </xdr:nvSpPr>
      <xdr:spPr>
        <a:xfrm>
          <a:off x="9221343" y="11582400"/>
          <a:ext cx="2491740" cy="1760220"/>
        </a:xfrm>
        <a:prstGeom prst="upArrow">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2800" b="1">
              <a:solidFill>
                <a:schemeClr val="bg1">
                  <a:lumMod val="95000"/>
                </a:schemeClr>
              </a:solidFill>
              <a:latin typeface="Aptos" panose="020B0004020202020204" pitchFamily="34" charset="0"/>
            </a:rPr>
            <a:t>0.29% </a:t>
          </a:r>
          <a:r>
            <a:rPr lang="en-US" sz="1400" b="1">
              <a:solidFill>
                <a:schemeClr val="bg1">
                  <a:lumMod val="95000"/>
                </a:schemeClr>
              </a:solidFill>
              <a:latin typeface="Aptos" panose="020B0004020202020204" pitchFamily="34" charset="0"/>
            </a:rPr>
            <a:t> </a:t>
          </a:r>
        </a:p>
        <a:p>
          <a:pPr algn="ctr"/>
          <a:r>
            <a:rPr lang="en-US" sz="1050">
              <a:solidFill>
                <a:schemeClr val="bg1">
                  <a:lumMod val="95000"/>
                </a:schemeClr>
              </a:solidFill>
              <a:latin typeface="Aptos" panose="020B0004020202020204" pitchFamily="34" charset="0"/>
            </a:rPr>
            <a:t>total </a:t>
          </a:r>
          <a:r>
            <a:rPr lang="en-US" sz="1050" b="1">
              <a:solidFill>
                <a:schemeClr val="bg1">
                  <a:lumMod val="95000"/>
                </a:schemeClr>
              </a:solidFill>
              <a:latin typeface="Aptos" panose="020B0004020202020204" pitchFamily="34" charset="0"/>
            </a:rPr>
            <a:t>Female</a:t>
          </a:r>
          <a:r>
            <a:rPr lang="en-US" sz="1050">
              <a:solidFill>
                <a:schemeClr val="bg1">
                  <a:lumMod val="95000"/>
                </a:schemeClr>
              </a:solidFill>
              <a:latin typeface="Aptos" panose="020B0004020202020204" pitchFamily="34" charset="0"/>
            </a:rPr>
            <a:t> improvent </a:t>
          </a:r>
        </a:p>
        <a:p>
          <a:pPr algn="ctr"/>
          <a:r>
            <a:rPr lang="en-US" sz="1050">
              <a:solidFill>
                <a:schemeClr val="bg1">
                  <a:lumMod val="95000"/>
                </a:schemeClr>
              </a:solidFill>
              <a:latin typeface="Aptos" panose="020B0004020202020204" pitchFamily="34" charset="0"/>
            </a:rPr>
            <a:t>from</a:t>
          </a:r>
          <a:r>
            <a:rPr lang="en-US" sz="1050" baseline="0">
              <a:solidFill>
                <a:schemeClr val="bg1">
                  <a:lumMod val="95000"/>
                </a:schemeClr>
              </a:solidFill>
              <a:latin typeface="Aptos" panose="020B0004020202020204" pitchFamily="34" charset="0"/>
            </a:rPr>
            <a:t> 2018 to 2022</a:t>
          </a:r>
          <a:endParaRPr lang="en-US" sz="1200">
            <a:solidFill>
              <a:schemeClr val="bg1">
                <a:lumMod val="95000"/>
              </a:schemeClr>
            </a:solidFill>
            <a:latin typeface="Aptos" panose="020B0004020202020204" pitchFamily="34" charset="0"/>
          </a:endParaRPr>
        </a:p>
      </xdr:txBody>
    </xdr:sp>
    <xdr:clientData/>
  </xdr:twoCellAnchor>
  <xdr:twoCellAnchor>
    <xdr:from>
      <xdr:col>10</xdr:col>
      <xdr:colOff>265557</xdr:colOff>
      <xdr:row>66</xdr:row>
      <xdr:rowOff>15240</xdr:rowOff>
    </xdr:from>
    <xdr:to>
      <xdr:col>12</xdr:col>
      <xdr:colOff>437769</xdr:colOff>
      <xdr:row>75</xdr:row>
      <xdr:rowOff>129540</xdr:rowOff>
    </xdr:to>
    <xdr:sp macro="" textlink="">
      <xdr:nvSpPr>
        <xdr:cNvPr id="121" name="Arrow: Up 120">
          <a:extLst>
            <a:ext uri="{FF2B5EF4-FFF2-40B4-BE49-F238E27FC236}">
              <a16:creationId xmlns:a16="http://schemas.microsoft.com/office/drawing/2014/main" id="{55283CF8-5727-5C32-57A1-67971659C661}"/>
            </a:ext>
          </a:extLst>
        </xdr:cNvPr>
        <xdr:cNvSpPr/>
      </xdr:nvSpPr>
      <xdr:spPr>
        <a:xfrm>
          <a:off x="9219057" y="13449300"/>
          <a:ext cx="2496312" cy="1760220"/>
        </a:xfrm>
        <a:prstGeom prst="up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US" sz="2800" b="1">
              <a:solidFill>
                <a:schemeClr val="bg1">
                  <a:lumMod val="95000"/>
                </a:schemeClr>
              </a:solidFill>
              <a:latin typeface="Aptos" panose="020B0004020202020204" pitchFamily="34" charset="0"/>
            </a:rPr>
            <a:t>2.19% </a:t>
          </a:r>
          <a:r>
            <a:rPr lang="en-US" sz="1400" b="1">
              <a:solidFill>
                <a:schemeClr val="bg1">
                  <a:lumMod val="95000"/>
                </a:schemeClr>
              </a:solidFill>
              <a:latin typeface="Aptos" panose="020B0004020202020204" pitchFamily="34" charset="0"/>
            </a:rPr>
            <a:t> </a:t>
          </a:r>
        </a:p>
        <a:p>
          <a:pPr algn="ctr"/>
          <a:r>
            <a:rPr lang="en-US" sz="1050">
              <a:solidFill>
                <a:schemeClr val="bg1">
                  <a:lumMod val="95000"/>
                </a:schemeClr>
              </a:solidFill>
              <a:latin typeface="Aptos" panose="020B0004020202020204" pitchFamily="34" charset="0"/>
            </a:rPr>
            <a:t>total </a:t>
          </a:r>
          <a:r>
            <a:rPr lang="en-US" sz="1050" b="1">
              <a:solidFill>
                <a:schemeClr val="bg1">
                  <a:lumMod val="95000"/>
                </a:schemeClr>
              </a:solidFill>
              <a:latin typeface="Aptos" panose="020B0004020202020204" pitchFamily="34" charset="0"/>
            </a:rPr>
            <a:t>Male</a:t>
          </a:r>
          <a:r>
            <a:rPr lang="en-US" sz="1050">
              <a:solidFill>
                <a:schemeClr val="bg1">
                  <a:lumMod val="95000"/>
                </a:schemeClr>
              </a:solidFill>
              <a:latin typeface="Aptos" panose="020B0004020202020204" pitchFamily="34" charset="0"/>
            </a:rPr>
            <a:t> improvent </a:t>
          </a:r>
        </a:p>
        <a:p>
          <a:pPr algn="ctr"/>
          <a:r>
            <a:rPr lang="en-US" sz="1050">
              <a:solidFill>
                <a:schemeClr val="bg1">
                  <a:lumMod val="95000"/>
                </a:schemeClr>
              </a:solidFill>
              <a:latin typeface="Aptos" panose="020B0004020202020204" pitchFamily="34" charset="0"/>
            </a:rPr>
            <a:t>from</a:t>
          </a:r>
          <a:r>
            <a:rPr lang="en-US" sz="1050" baseline="0">
              <a:solidFill>
                <a:schemeClr val="bg1">
                  <a:lumMod val="95000"/>
                </a:schemeClr>
              </a:solidFill>
              <a:latin typeface="Aptos" panose="020B0004020202020204" pitchFamily="34" charset="0"/>
            </a:rPr>
            <a:t> 2018 to 2022</a:t>
          </a:r>
          <a:endParaRPr lang="en-US" sz="1200">
            <a:solidFill>
              <a:schemeClr val="bg1">
                <a:lumMod val="95000"/>
              </a:schemeClr>
            </a:solidFill>
            <a:latin typeface="Aptos" panose="020B0004020202020204" pitchFamily="34" charset="0"/>
          </a:endParaRPr>
        </a:p>
      </xdr:txBody>
    </xdr:sp>
    <xdr:clientData/>
  </xdr:twoCellAnchor>
  <xdr:twoCellAnchor>
    <xdr:from>
      <xdr:col>10</xdr:col>
      <xdr:colOff>861060</xdr:colOff>
      <xdr:row>82</xdr:row>
      <xdr:rowOff>60960</xdr:rowOff>
    </xdr:from>
    <xdr:to>
      <xdr:col>13</xdr:col>
      <xdr:colOff>388620</xdr:colOff>
      <xdr:row>86</xdr:row>
      <xdr:rowOff>121920</xdr:rowOff>
    </xdr:to>
    <xdr:sp macro="" textlink="">
      <xdr:nvSpPr>
        <xdr:cNvPr id="122" name="Callout: Left Arrow 121">
          <a:extLst>
            <a:ext uri="{FF2B5EF4-FFF2-40B4-BE49-F238E27FC236}">
              <a16:creationId xmlns:a16="http://schemas.microsoft.com/office/drawing/2014/main" id="{8672B97D-884C-4DC5-A953-AFD2F16E5D20}"/>
            </a:ext>
          </a:extLst>
        </xdr:cNvPr>
        <xdr:cNvSpPr/>
      </xdr:nvSpPr>
      <xdr:spPr>
        <a:xfrm>
          <a:off x="9814560" y="16421100"/>
          <a:ext cx="3139440" cy="792480"/>
        </a:xfrm>
        <a:prstGeom prst="leftArrowCallou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2800" b="1">
              <a:solidFill>
                <a:schemeClr val="bg1"/>
              </a:solidFill>
              <a:latin typeface="Aptos" panose="020B0004020202020204" pitchFamily="34" charset="0"/>
            </a:rPr>
            <a:t>CAR, NCR</a:t>
          </a:r>
          <a:r>
            <a:rPr lang="en-US" sz="1400" b="1">
              <a:solidFill>
                <a:schemeClr val="bg1"/>
              </a:solidFill>
              <a:latin typeface="Aptos" panose="020B0004020202020204" pitchFamily="34" charset="0"/>
            </a:rPr>
            <a:t> </a:t>
          </a:r>
        </a:p>
        <a:p>
          <a:pPr algn="ctr"/>
          <a:r>
            <a:rPr lang="en-US" sz="1050">
              <a:solidFill>
                <a:schemeClr val="bg1"/>
              </a:solidFill>
              <a:latin typeface="Aptos" panose="020B0004020202020204" pitchFamily="34" charset="0"/>
            </a:rPr>
            <a:t>record the highest HDI values </a:t>
          </a:r>
          <a:endParaRPr lang="en-US" sz="1200">
            <a:solidFill>
              <a:schemeClr val="bg1"/>
            </a:solidFill>
            <a:latin typeface="Aptos" panose="020B0004020202020204" pitchFamily="34" charset="0"/>
          </a:endParaRPr>
        </a:p>
      </xdr:txBody>
    </xdr:sp>
    <xdr:clientData/>
  </xdr:twoCellAnchor>
  <xdr:twoCellAnchor>
    <xdr:from>
      <xdr:col>10</xdr:col>
      <xdr:colOff>861060</xdr:colOff>
      <xdr:row>90</xdr:row>
      <xdr:rowOff>45720</xdr:rowOff>
    </xdr:from>
    <xdr:to>
      <xdr:col>13</xdr:col>
      <xdr:colOff>381000</xdr:colOff>
      <xdr:row>95</xdr:row>
      <xdr:rowOff>7620</xdr:rowOff>
    </xdr:to>
    <xdr:sp macro="" textlink="">
      <xdr:nvSpPr>
        <xdr:cNvPr id="123" name="Callout: Left Arrow 122">
          <a:extLst>
            <a:ext uri="{FF2B5EF4-FFF2-40B4-BE49-F238E27FC236}">
              <a16:creationId xmlns:a16="http://schemas.microsoft.com/office/drawing/2014/main" id="{63B86D7E-8482-16DD-1CCE-E1456B9F3FFC}"/>
            </a:ext>
          </a:extLst>
        </xdr:cNvPr>
        <xdr:cNvSpPr/>
      </xdr:nvSpPr>
      <xdr:spPr>
        <a:xfrm>
          <a:off x="9814560" y="17868900"/>
          <a:ext cx="3131820" cy="876300"/>
        </a:xfrm>
        <a:prstGeom prst="leftArrowCallou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r>
            <a:rPr lang="en-US" sz="2800" b="1">
              <a:solidFill>
                <a:schemeClr val="bg1"/>
              </a:solidFill>
              <a:latin typeface="Aptos" panose="020B0004020202020204" pitchFamily="34" charset="0"/>
            </a:rPr>
            <a:t>ARMM</a:t>
          </a:r>
          <a:endParaRPr lang="en-US" sz="1400" b="1">
            <a:solidFill>
              <a:schemeClr val="bg1"/>
            </a:solidFill>
            <a:latin typeface="Aptos" panose="020B0004020202020204" pitchFamily="34" charset="0"/>
          </a:endParaRPr>
        </a:p>
        <a:p>
          <a:pPr algn="ctr"/>
          <a:r>
            <a:rPr lang="en-US" sz="1050">
              <a:solidFill>
                <a:schemeClr val="bg1"/>
              </a:solidFill>
              <a:latin typeface="Aptos" panose="020B0004020202020204" pitchFamily="34" charset="0"/>
            </a:rPr>
            <a:t>records the </a:t>
          </a:r>
          <a:r>
            <a:rPr lang="en-US" sz="1050" b="1">
              <a:solidFill>
                <a:schemeClr val="bg1"/>
              </a:solidFill>
              <a:latin typeface="Aptos" panose="020B0004020202020204" pitchFamily="34" charset="0"/>
            </a:rPr>
            <a:t>lowest</a:t>
          </a:r>
          <a:r>
            <a:rPr lang="en-US" sz="1050">
              <a:solidFill>
                <a:schemeClr val="bg1"/>
              </a:solidFill>
              <a:latin typeface="Aptos" panose="020B0004020202020204" pitchFamily="34" charset="0"/>
            </a:rPr>
            <a:t> HDI values for both sexes </a:t>
          </a:r>
          <a:endParaRPr lang="en-US" sz="1200">
            <a:solidFill>
              <a:schemeClr val="bg1"/>
            </a:solidFill>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592836</xdr:colOff>
      <xdr:row>0</xdr:row>
      <xdr:rowOff>121920</xdr:rowOff>
    </xdr:from>
    <xdr:to>
      <xdr:col>11</xdr:col>
      <xdr:colOff>251460</xdr:colOff>
      <xdr:row>0</xdr:row>
      <xdr:rowOff>734568</xdr:rowOff>
    </xdr:to>
    <xdr:grpSp>
      <xdr:nvGrpSpPr>
        <xdr:cNvPr id="137" name="Group 136">
          <a:extLst>
            <a:ext uri="{FF2B5EF4-FFF2-40B4-BE49-F238E27FC236}">
              <a16:creationId xmlns:a16="http://schemas.microsoft.com/office/drawing/2014/main" id="{4CA3C0A5-6A92-4FA1-B54F-D24DE2C138AB}"/>
            </a:ext>
          </a:extLst>
        </xdr:cNvPr>
        <xdr:cNvGrpSpPr/>
      </xdr:nvGrpSpPr>
      <xdr:grpSpPr>
        <a:xfrm>
          <a:off x="2756916" y="121920"/>
          <a:ext cx="5175504" cy="612648"/>
          <a:chOff x="4762500" y="4229100"/>
          <a:chExt cx="5006340" cy="586740"/>
        </a:xfrm>
      </xdr:grpSpPr>
      <xdr:grpSp>
        <xdr:nvGrpSpPr>
          <xdr:cNvPr id="138" name="Group 137">
            <a:extLst>
              <a:ext uri="{FF2B5EF4-FFF2-40B4-BE49-F238E27FC236}">
                <a16:creationId xmlns:a16="http://schemas.microsoft.com/office/drawing/2014/main" id="{EFB8ECCA-3E15-2DCF-48D7-16592F135859}"/>
              </a:ext>
            </a:extLst>
          </xdr:cNvPr>
          <xdr:cNvGrpSpPr/>
        </xdr:nvGrpSpPr>
        <xdr:grpSpPr>
          <a:xfrm>
            <a:off x="4762500" y="4229100"/>
            <a:ext cx="1668780" cy="586740"/>
            <a:chOff x="4762500" y="4229100"/>
            <a:chExt cx="1668780" cy="586740"/>
          </a:xfrm>
        </xdr:grpSpPr>
        <xdr:sp macro="" textlink="">
          <xdr:nvSpPr>
            <xdr:cNvPr id="143" name="Rectangle 142">
              <a:hlinkClick xmlns:r="http://schemas.openxmlformats.org/officeDocument/2006/relationships" r:id="rId1"/>
              <a:extLst>
                <a:ext uri="{FF2B5EF4-FFF2-40B4-BE49-F238E27FC236}">
                  <a16:creationId xmlns:a16="http://schemas.microsoft.com/office/drawing/2014/main" id="{9D868D54-4490-58A8-640E-C2990C473008}"/>
                </a:ext>
              </a:extLst>
            </xdr:cNvPr>
            <xdr:cNvSpPr/>
          </xdr:nvSpPr>
          <xdr:spPr>
            <a:xfrm>
              <a:off x="4762500" y="4229100"/>
              <a:ext cx="1668780" cy="586740"/>
            </a:xfrm>
            <a:prstGeom prst="rect">
              <a:avLst/>
            </a:prstGeom>
            <a:solidFill>
              <a:schemeClr val="bg2">
                <a:lumMod val="9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Dashboard</a:t>
              </a:r>
              <a:endParaRPr lang="en-US" sz="1100" b="1">
                <a:solidFill>
                  <a:schemeClr val="tx1">
                    <a:lumMod val="85000"/>
                    <a:lumOff val="15000"/>
                  </a:schemeClr>
                </a:solidFill>
                <a:latin typeface="Aptos Display" panose="020B0004020202020204" pitchFamily="34" charset="0"/>
              </a:endParaRPr>
            </a:p>
          </xdr:txBody>
        </xdr:sp>
        <xdr:pic>
          <xdr:nvPicPr>
            <xdr:cNvPr id="144" name="Graphic 143" descr="House with solid fill">
              <a:hlinkClick xmlns:r="http://schemas.openxmlformats.org/officeDocument/2006/relationships" r:id="rId1"/>
              <a:extLst>
                <a:ext uri="{FF2B5EF4-FFF2-40B4-BE49-F238E27FC236}">
                  <a16:creationId xmlns:a16="http://schemas.microsoft.com/office/drawing/2014/main" id="{DFC7C0D9-9F26-3ACF-462B-CAA7360F654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815840" y="4282440"/>
              <a:ext cx="502920" cy="464234"/>
            </a:xfrm>
            <a:prstGeom prst="rect">
              <a:avLst/>
            </a:prstGeom>
          </xdr:spPr>
        </xdr:pic>
      </xdr:grpSp>
      <xdr:sp macro="" textlink="">
        <xdr:nvSpPr>
          <xdr:cNvPr id="139" name="Rectangle 138">
            <a:hlinkClick xmlns:r="http://schemas.openxmlformats.org/officeDocument/2006/relationships" r:id="rId4"/>
            <a:extLst>
              <a:ext uri="{FF2B5EF4-FFF2-40B4-BE49-F238E27FC236}">
                <a16:creationId xmlns:a16="http://schemas.microsoft.com/office/drawing/2014/main" id="{954E325D-7717-7980-F817-9C32C8E7125D}"/>
              </a:ext>
            </a:extLst>
          </xdr:cNvPr>
          <xdr:cNvSpPr/>
        </xdr:nvSpPr>
        <xdr:spPr>
          <a:xfrm>
            <a:off x="6431280" y="4229100"/>
            <a:ext cx="1668780" cy="586740"/>
          </a:xfrm>
          <a:prstGeom prst="rect">
            <a:avLst/>
          </a:prstGeom>
          <a:solidFill>
            <a:schemeClr val="bg2">
              <a:lumMod val="90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Tables</a:t>
            </a:r>
            <a:endParaRPr lang="en-US" sz="1100" b="1">
              <a:solidFill>
                <a:schemeClr val="tx1">
                  <a:lumMod val="85000"/>
                  <a:lumOff val="15000"/>
                </a:schemeClr>
              </a:solidFill>
              <a:latin typeface="Aptos Display" panose="020B0004020202020204" pitchFamily="34" charset="0"/>
            </a:endParaRPr>
          </a:p>
        </xdr:txBody>
      </xdr:sp>
      <xdr:pic>
        <xdr:nvPicPr>
          <xdr:cNvPr id="140" name="Graphic 139" descr="Daily calendar with solid fill">
            <a:hlinkClick xmlns:r="http://schemas.openxmlformats.org/officeDocument/2006/relationships" r:id="rId4"/>
            <a:extLst>
              <a:ext uri="{FF2B5EF4-FFF2-40B4-BE49-F238E27FC236}">
                <a16:creationId xmlns:a16="http://schemas.microsoft.com/office/drawing/2014/main" id="{40485C9D-BAF9-5DB3-88D2-AA406DE095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503963" y="4282440"/>
            <a:ext cx="464234" cy="464234"/>
          </a:xfrm>
          <a:prstGeom prst="rect">
            <a:avLst/>
          </a:prstGeom>
        </xdr:spPr>
      </xdr:pic>
      <xdr:sp macro="" textlink="">
        <xdr:nvSpPr>
          <xdr:cNvPr id="141" name="Rectangle 140">
            <a:hlinkClick xmlns:r="http://schemas.openxmlformats.org/officeDocument/2006/relationships" r:id="rId7"/>
            <a:extLst>
              <a:ext uri="{FF2B5EF4-FFF2-40B4-BE49-F238E27FC236}">
                <a16:creationId xmlns:a16="http://schemas.microsoft.com/office/drawing/2014/main" id="{A9EE0A8B-03DA-3430-3A4B-0A37F9059C2A}"/>
              </a:ext>
            </a:extLst>
          </xdr:cNvPr>
          <xdr:cNvSpPr/>
        </xdr:nvSpPr>
        <xdr:spPr>
          <a:xfrm>
            <a:off x="8100060" y="4229100"/>
            <a:ext cx="1668780" cy="586740"/>
          </a:xfrm>
          <a:prstGeom prst="rect">
            <a:avLst/>
          </a:prstGeom>
          <a:solidFill>
            <a:schemeClr val="bg2">
              <a:lumMod val="9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Data</a:t>
            </a:r>
            <a:endParaRPr lang="en-US" sz="1100" b="1">
              <a:solidFill>
                <a:schemeClr val="tx1">
                  <a:lumMod val="85000"/>
                  <a:lumOff val="15000"/>
                </a:schemeClr>
              </a:solidFill>
              <a:latin typeface="Aptos Display" panose="020B0004020202020204" pitchFamily="34" charset="0"/>
            </a:endParaRPr>
          </a:p>
        </xdr:txBody>
      </xdr:sp>
      <xdr:pic>
        <xdr:nvPicPr>
          <xdr:cNvPr id="142" name="Graphic 141" descr="Bar chart with solid fill">
            <a:hlinkClick xmlns:r="http://schemas.openxmlformats.org/officeDocument/2006/relationships" r:id="rId7"/>
            <a:extLst>
              <a:ext uri="{FF2B5EF4-FFF2-40B4-BE49-F238E27FC236}">
                <a16:creationId xmlns:a16="http://schemas.microsoft.com/office/drawing/2014/main" id="{73B2E8D3-5F02-F77A-765C-482E2FB13DA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8172743" y="4282440"/>
            <a:ext cx="464234" cy="464234"/>
          </a:xfrm>
          <a:prstGeom prst="rect">
            <a:avLst/>
          </a:prstGeom>
        </xdr:spPr>
      </xdr:pic>
    </xdr:grpSp>
    <xdr:clientData/>
  </xdr:twoCellAnchor>
  <xdr:oneCellAnchor>
    <xdr:from>
      <xdr:col>1</xdr:col>
      <xdr:colOff>76200</xdr:colOff>
      <xdr:row>0</xdr:row>
      <xdr:rowOff>199153</xdr:rowOff>
    </xdr:from>
    <xdr:ext cx="2247900" cy="442942"/>
    <xdr:sp macro="" textlink="">
      <xdr:nvSpPr>
        <xdr:cNvPr id="145" name="TextBox 144">
          <a:extLst>
            <a:ext uri="{FF2B5EF4-FFF2-40B4-BE49-F238E27FC236}">
              <a16:creationId xmlns:a16="http://schemas.microsoft.com/office/drawing/2014/main" id="{AF8A50EE-0640-445F-8458-D07176C0069A}"/>
            </a:ext>
          </a:extLst>
        </xdr:cNvPr>
        <xdr:cNvSpPr txBox="1"/>
      </xdr:nvSpPr>
      <xdr:spPr>
        <a:xfrm>
          <a:off x="441960" y="199153"/>
          <a:ext cx="2247900" cy="44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b="1" i="0" u="none" strike="noStrike">
              <a:solidFill>
                <a:schemeClr val="tx1">
                  <a:lumMod val="65000"/>
                  <a:lumOff val="35000"/>
                </a:schemeClr>
              </a:solidFill>
              <a:effectLst/>
              <a:latin typeface="Book Antiqua" panose="02040602050305030304" pitchFamily="18" charset="0"/>
              <a:ea typeface="+mn-ea"/>
              <a:cs typeface="+mn-cs"/>
            </a:rPr>
            <a:t>2018-2022</a:t>
          </a:r>
          <a:r>
            <a:rPr lang="en-US" sz="1100" b="1" i="0" u="none" strike="noStrike" baseline="0">
              <a:solidFill>
                <a:schemeClr val="tx1">
                  <a:lumMod val="65000"/>
                  <a:lumOff val="35000"/>
                </a:schemeClr>
              </a:solidFill>
              <a:effectLst/>
              <a:latin typeface="Book Antiqua" panose="02040602050305030304" pitchFamily="18" charset="0"/>
              <a:ea typeface="+mn-ea"/>
              <a:cs typeface="+mn-cs"/>
            </a:rPr>
            <a:t> </a:t>
          </a:r>
          <a:r>
            <a:rPr lang="en-US" sz="1100" b="0" i="0" u="none" strike="noStrike">
              <a:solidFill>
                <a:schemeClr val="tx1">
                  <a:lumMod val="65000"/>
                  <a:lumOff val="35000"/>
                </a:schemeClr>
              </a:solidFill>
              <a:effectLst/>
              <a:latin typeface="Book Antiqua" panose="02040602050305030304" pitchFamily="18" charset="0"/>
              <a:ea typeface="+mn-ea"/>
              <a:cs typeface="+mn-cs"/>
            </a:rPr>
            <a:t>Human Development Index  (HDI)</a:t>
          </a:r>
          <a:r>
            <a:rPr lang="en-US" sz="1100" b="1" i="0" u="none" strike="noStrike">
              <a:solidFill>
                <a:schemeClr val="tx1">
                  <a:lumMod val="65000"/>
                  <a:lumOff val="35000"/>
                </a:schemeClr>
              </a:solidFill>
              <a:effectLst/>
              <a:latin typeface="Book Antiqua" panose="02040602050305030304" pitchFamily="18" charset="0"/>
              <a:ea typeface="+mn-ea"/>
              <a:cs typeface="+mn-cs"/>
            </a:rPr>
            <a:t> Analysis Report</a:t>
          </a:r>
          <a:r>
            <a:rPr lang="en-US" sz="1100">
              <a:solidFill>
                <a:schemeClr val="tx1">
                  <a:lumMod val="65000"/>
                  <a:lumOff val="35000"/>
                </a:schemeClr>
              </a:solidFill>
              <a:latin typeface="Book Antiqua" panose="02040602050305030304" pitchFamily="18" charset="0"/>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455676</xdr:colOff>
      <xdr:row>0</xdr:row>
      <xdr:rowOff>118872</xdr:rowOff>
    </xdr:from>
    <xdr:to>
      <xdr:col>9</xdr:col>
      <xdr:colOff>7620</xdr:colOff>
      <xdr:row>0</xdr:row>
      <xdr:rowOff>731520</xdr:rowOff>
    </xdr:to>
    <xdr:grpSp>
      <xdr:nvGrpSpPr>
        <xdr:cNvPr id="23" name="Group 22">
          <a:extLst>
            <a:ext uri="{FF2B5EF4-FFF2-40B4-BE49-F238E27FC236}">
              <a16:creationId xmlns:a16="http://schemas.microsoft.com/office/drawing/2014/main" id="{FC4BF20A-8B4C-478A-A693-50516127AF82}"/>
            </a:ext>
          </a:extLst>
        </xdr:cNvPr>
        <xdr:cNvGrpSpPr/>
      </xdr:nvGrpSpPr>
      <xdr:grpSpPr>
        <a:xfrm>
          <a:off x="2756916" y="118872"/>
          <a:ext cx="5175504" cy="612648"/>
          <a:chOff x="4762500" y="5021580"/>
          <a:chExt cx="5006340" cy="586740"/>
        </a:xfrm>
      </xdr:grpSpPr>
      <xdr:grpSp>
        <xdr:nvGrpSpPr>
          <xdr:cNvPr id="24" name="Group 23">
            <a:extLst>
              <a:ext uri="{FF2B5EF4-FFF2-40B4-BE49-F238E27FC236}">
                <a16:creationId xmlns:a16="http://schemas.microsoft.com/office/drawing/2014/main" id="{FE5E3CC9-5703-036A-A190-85DF5B8244B9}"/>
              </a:ext>
            </a:extLst>
          </xdr:cNvPr>
          <xdr:cNvGrpSpPr/>
        </xdr:nvGrpSpPr>
        <xdr:grpSpPr>
          <a:xfrm>
            <a:off x="4762500" y="5021580"/>
            <a:ext cx="1668780" cy="586740"/>
            <a:chOff x="4762500" y="4229100"/>
            <a:chExt cx="1668780" cy="586740"/>
          </a:xfrm>
        </xdr:grpSpPr>
        <xdr:sp macro="" textlink="">
          <xdr:nvSpPr>
            <xdr:cNvPr id="29" name="Rectangle 28">
              <a:hlinkClick xmlns:r="http://schemas.openxmlformats.org/officeDocument/2006/relationships" r:id="rId1"/>
              <a:extLst>
                <a:ext uri="{FF2B5EF4-FFF2-40B4-BE49-F238E27FC236}">
                  <a16:creationId xmlns:a16="http://schemas.microsoft.com/office/drawing/2014/main" id="{11A1870C-A89B-5C93-F3A2-639C5212DD3B}"/>
                </a:ext>
              </a:extLst>
            </xdr:cNvPr>
            <xdr:cNvSpPr/>
          </xdr:nvSpPr>
          <xdr:spPr>
            <a:xfrm>
              <a:off x="4762500" y="4229100"/>
              <a:ext cx="1668780" cy="586740"/>
            </a:xfrm>
            <a:prstGeom prst="rect">
              <a:avLst/>
            </a:prstGeom>
            <a:solidFill>
              <a:schemeClr val="bg2">
                <a:lumMod val="9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Dashboard</a:t>
              </a:r>
              <a:endParaRPr lang="en-US" sz="1100" b="1">
                <a:solidFill>
                  <a:schemeClr val="tx1">
                    <a:lumMod val="85000"/>
                    <a:lumOff val="15000"/>
                  </a:schemeClr>
                </a:solidFill>
                <a:latin typeface="Aptos Display" panose="020B0004020202020204" pitchFamily="34" charset="0"/>
              </a:endParaRPr>
            </a:p>
          </xdr:txBody>
        </xdr:sp>
        <xdr:pic>
          <xdr:nvPicPr>
            <xdr:cNvPr id="30" name="Graphic 29" descr="House with solid fill">
              <a:hlinkClick xmlns:r="http://schemas.openxmlformats.org/officeDocument/2006/relationships" r:id="rId1"/>
              <a:extLst>
                <a:ext uri="{FF2B5EF4-FFF2-40B4-BE49-F238E27FC236}">
                  <a16:creationId xmlns:a16="http://schemas.microsoft.com/office/drawing/2014/main" id="{37331A55-124C-DE9C-DD28-35F596A84A8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815840" y="4282440"/>
              <a:ext cx="502920" cy="464234"/>
            </a:xfrm>
            <a:prstGeom prst="rect">
              <a:avLst/>
            </a:prstGeom>
          </xdr:spPr>
        </xdr:pic>
      </xdr:grpSp>
      <xdr:sp macro="" textlink="">
        <xdr:nvSpPr>
          <xdr:cNvPr id="25" name="Rectangle 24">
            <a:hlinkClick xmlns:r="http://schemas.openxmlformats.org/officeDocument/2006/relationships" r:id="rId4"/>
            <a:extLst>
              <a:ext uri="{FF2B5EF4-FFF2-40B4-BE49-F238E27FC236}">
                <a16:creationId xmlns:a16="http://schemas.microsoft.com/office/drawing/2014/main" id="{F325435F-9700-2156-7081-A4233E9CAAD8}"/>
              </a:ext>
            </a:extLst>
          </xdr:cNvPr>
          <xdr:cNvSpPr/>
        </xdr:nvSpPr>
        <xdr:spPr>
          <a:xfrm>
            <a:off x="8100060" y="5021580"/>
            <a:ext cx="1668780" cy="586740"/>
          </a:xfrm>
          <a:prstGeom prst="rect">
            <a:avLst/>
          </a:prstGeom>
          <a:solidFill>
            <a:schemeClr val="bg2">
              <a:lumMod val="90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Data</a:t>
            </a:r>
            <a:endParaRPr lang="en-US" sz="1100" b="1">
              <a:solidFill>
                <a:schemeClr val="tx1">
                  <a:lumMod val="85000"/>
                  <a:lumOff val="15000"/>
                </a:schemeClr>
              </a:solidFill>
              <a:latin typeface="Aptos Display" panose="020B0004020202020204" pitchFamily="34" charset="0"/>
            </a:endParaRPr>
          </a:p>
        </xdr:txBody>
      </xdr:sp>
      <xdr:pic>
        <xdr:nvPicPr>
          <xdr:cNvPr id="26" name="Graphic 25" descr="Bar chart with solid fill">
            <a:hlinkClick xmlns:r="http://schemas.openxmlformats.org/officeDocument/2006/relationships" r:id="rId4"/>
            <a:extLst>
              <a:ext uri="{FF2B5EF4-FFF2-40B4-BE49-F238E27FC236}">
                <a16:creationId xmlns:a16="http://schemas.microsoft.com/office/drawing/2014/main" id="{8F00AFD3-9D58-F09D-1A85-2504DF99AB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172743" y="5074920"/>
            <a:ext cx="464234" cy="464234"/>
          </a:xfrm>
          <a:prstGeom prst="rect">
            <a:avLst/>
          </a:prstGeom>
        </xdr:spPr>
      </xdr:pic>
      <xdr:sp macro="" textlink="">
        <xdr:nvSpPr>
          <xdr:cNvPr id="27" name="Rectangle 26">
            <a:hlinkClick xmlns:r="http://schemas.openxmlformats.org/officeDocument/2006/relationships" r:id="rId7"/>
            <a:extLst>
              <a:ext uri="{FF2B5EF4-FFF2-40B4-BE49-F238E27FC236}">
                <a16:creationId xmlns:a16="http://schemas.microsoft.com/office/drawing/2014/main" id="{BA82485F-2BFF-66CC-123E-352343848D94}"/>
              </a:ext>
            </a:extLst>
          </xdr:cNvPr>
          <xdr:cNvSpPr/>
        </xdr:nvSpPr>
        <xdr:spPr>
          <a:xfrm>
            <a:off x="6431280" y="5021580"/>
            <a:ext cx="1668780" cy="586740"/>
          </a:xfrm>
          <a:prstGeom prst="rect">
            <a:avLst/>
          </a:prstGeom>
          <a:solidFill>
            <a:schemeClr val="bg2">
              <a:lumMod val="9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lumMod val="85000"/>
                    <a:lumOff val="15000"/>
                  </a:schemeClr>
                </a:solidFill>
                <a:latin typeface="Aptos Display" panose="020B0004020202020204" pitchFamily="34" charset="0"/>
              </a:rPr>
              <a:t>Tables</a:t>
            </a:r>
            <a:endParaRPr lang="en-US" sz="1100" b="1">
              <a:solidFill>
                <a:schemeClr val="tx1">
                  <a:lumMod val="85000"/>
                  <a:lumOff val="15000"/>
                </a:schemeClr>
              </a:solidFill>
              <a:latin typeface="Aptos Display" panose="020B0004020202020204" pitchFamily="34" charset="0"/>
            </a:endParaRPr>
          </a:p>
        </xdr:txBody>
      </xdr:sp>
      <xdr:pic>
        <xdr:nvPicPr>
          <xdr:cNvPr id="28" name="Graphic 27" descr="Daily calendar with solid fill">
            <a:hlinkClick xmlns:r="http://schemas.openxmlformats.org/officeDocument/2006/relationships" r:id="rId7"/>
            <a:extLst>
              <a:ext uri="{FF2B5EF4-FFF2-40B4-BE49-F238E27FC236}">
                <a16:creationId xmlns:a16="http://schemas.microsoft.com/office/drawing/2014/main" id="{4D59B53F-19CA-225E-0595-0669275A78F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6503963" y="5074920"/>
            <a:ext cx="464234" cy="464234"/>
          </a:xfrm>
          <a:prstGeom prst="rect">
            <a:avLst/>
          </a:prstGeom>
        </xdr:spPr>
      </xdr:pic>
    </xdr:grpSp>
    <xdr:clientData/>
  </xdr:twoCellAnchor>
  <xdr:oneCellAnchor>
    <xdr:from>
      <xdr:col>1</xdr:col>
      <xdr:colOff>265176</xdr:colOff>
      <xdr:row>0</xdr:row>
      <xdr:rowOff>195072</xdr:rowOff>
    </xdr:from>
    <xdr:ext cx="2247900" cy="442942"/>
    <xdr:sp macro="" textlink="">
      <xdr:nvSpPr>
        <xdr:cNvPr id="32" name="TextBox 31">
          <a:extLst>
            <a:ext uri="{FF2B5EF4-FFF2-40B4-BE49-F238E27FC236}">
              <a16:creationId xmlns:a16="http://schemas.microsoft.com/office/drawing/2014/main" id="{6EE9AD8A-7138-49CD-9BF8-F3864C27BFBE}"/>
            </a:ext>
          </a:extLst>
        </xdr:cNvPr>
        <xdr:cNvSpPr txBox="1"/>
      </xdr:nvSpPr>
      <xdr:spPr>
        <a:xfrm>
          <a:off x="440436" y="195072"/>
          <a:ext cx="2247900" cy="44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b="1" i="0" u="none" strike="noStrike">
              <a:solidFill>
                <a:schemeClr val="tx1">
                  <a:lumMod val="65000"/>
                  <a:lumOff val="35000"/>
                </a:schemeClr>
              </a:solidFill>
              <a:effectLst/>
              <a:latin typeface="Book Antiqua" panose="02040602050305030304" pitchFamily="18" charset="0"/>
              <a:ea typeface="+mn-ea"/>
              <a:cs typeface="+mn-cs"/>
            </a:rPr>
            <a:t>2018-2022</a:t>
          </a:r>
          <a:r>
            <a:rPr lang="en-US" sz="1100" b="1" i="0" u="none" strike="noStrike" baseline="0">
              <a:solidFill>
                <a:schemeClr val="tx1">
                  <a:lumMod val="65000"/>
                  <a:lumOff val="35000"/>
                </a:schemeClr>
              </a:solidFill>
              <a:effectLst/>
              <a:latin typeface="Book Antiqua" panose="02040602050305030304" pitchFamily="18" charset="0"/>
              <a:ea typeface="+mn-ea"/>
              <a:cs typeface="+mn-cs"/>
            </a:rPr>
            <a:t> </a:t>
          </a:r>
          <a:r>
            <a:rPr lang="en-US" sz="1100" b="0" i="0" u="none" strike="noStrike">
              <a:solidFill>
                <a:schemeClr val="tx1">
                  <a:lumMod val="65000"/>
                  <a:lumOff val="35000"/>
                </a:schemeClr>
              </a:solidFill>
              <a:effectLst/>
              <a:latin typeface="Book Antiqua" panose="02040602050305030304" pitchFamily="18" charset="0"/>
              <a:ea typeface="+mn-ea"/>
              <a:cs typeface="+mn-cs"/>
            </a:rPr>
            <a:t>Human Development Index  (HDI)</a:t>
          </a:r>
          <a:r>
            <a:rPr lang="en-US" sz="1100" b="1" i="0" u="none" strike="noStrike">
              <a:solidFill>
                <a:schemeClr val="tx1">
                  <a:lumMod val="65000"/>
                  <a:lumOff val="35000"/>
                </a:schemeClr>
              </a:solidFill>
              <a:effectLst/>
              <a:latin typeface="Book Antiqua" panose="02040602050305030304" pitchFamily="18" charset="0"/>
              <a:ea typeface="+mn-ea"/>
              <a:cs typeface="+mn-cs"/>
            </a:rPr>
            <a:t> Analysis Report</a:t>
          </a:r>
          <a:r>
            <a:rPr lang="en-US" sz="1100">
              <a:solidFill>
                <a:schemeClr val="tx1">
                  <a:lumMod val="65000"/>
                  <a:lumOff val="35000"/>
                </a:schemeClr>
              </a:solidFill>
              <a:latin typeface="Book Antiqua" panose="02040602050305030304" pitchFamily="18" charset="0"/>
            </a:rPr>
            <a: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fe" refreshedDate="45951.986022569443" createdVersion="8" refreshedVersion="8" minRefreshableVersion="3" recordCount="170" xr:uid="{3DD00C9B-4D35-43EA-8B2B-927FD756BC35}">
  <cacheSource type="worksheet">
    <worksheetSource name="hdi_data"/>
  </cacheSource>
  <cacheFields count="14">
    <cacheField name="Region" numFmtId="0">
      <sharedItems count="17">
        <s v="ARMM"/>
        <s v="CAR"/>
        <s v="Region I"/>
        <s v="Region II"/>
        <s v="Region III"/>
        <s v="Region IVA"/>
        <s v="Region IVB"/>
        <s v="Region IX"/>
        <s v="NCR"/>
        <s v="Region V"/>
        <s v="Region VI"/>
        <s v="Region VII"/>
        <s v="Region VIII"/>
        <s v="Region X"/>
        <s v="Region XI"/>
        <s v="Region XII"/>
        <s v="Region XIII"/>
      </sharedItems>
    </cacheField>
    <cacheField name="Year" numFmtId="0">
      <sharedItems containsSemiMixedTypes="0" containsString="0" containsNumber="1" containsInteger="1" minValue="2018" maxValue="2022" count="5">
        <n v="2018"/>
        <n v="2019"/>
        <n v="2020"/>
        <n v="2021"/>
        <n v="2022"/>
      </sharedItems>
    </cacheField>
    <cacheField name="Sex" numFmtId="0">
      <sharedItems count="2">
        <s v="Female"/>
        <s v="Male"/>
      </sharedItems>
    </cacheField>
    <cacheField name="Life _x000a_Expectancy " numFmtId="0">
      <sharedItems containsSemiMixedTypes="0" containsString="0" containsNumber="1" minValue="65.19" maxValue="76.89"/>
    </cacheField>
    <cacheField name="Health _x000a_Index" numFmtId="165">
      <sharedItems containsSemiMixedTypes="0" containsString="0" containsNumber="1" minValue="0.69523076923076921" maxValue="0.87523076923076926"/>
    </cacheField>
    <cacheField name="Expected _x000a_Schooling " numFmtId="4">
      <sharedItems containsSemiMixedTypes="0" containsString="0" containsNumber="1" minValue="10.85" maxValue="14.27"/>
    </cacheField>
    <cacheField name="Expected Schooling _x000a_Index" numFmtId="4">
      <sharedItems containsSemiMixedTypes="0" containsString="0" containsNumber="1" minValue="0.60277777777777775" maxValue="0.7927777777777778"/>
    </cacheField>
    <cacheField name="Mean _x000a_Schooling " numFmtId="4">
      <sharedItems containsSemiMixedTypes="0" containsString="0" containsNumber="1" minValue="5.6520000000000001" maxValue="10.7"/>
    </cacheField>
    <cacheField name="Mean _x000a_Schooling _x000a_Index" numFmtId="4">
      <sharedItems containsSemiMixedTypes="0" containsString="0" containsNumber="1" minValue="0.37680000000000002" maxValue="0.71333333333333326"/>
    </cacheField>
    <cacheField name="Education _x000a_Index" numFmtId="165">
      <sharedItems containsSemiMixedTypes="0" containsString="0" containsNumber="1" minValue="0.48978888888888888" maxValue="0.73583333333333334"/>
    </cacheField>
    <cacheField name="GNI per capita _x000a_(PHP)" numFmtId="168">
      <sharedItems containsSemiMixedTypes="0" containsString="0" containsNumber="1" minValue="163112.0107517151" maxValue="853291.20213281224"/>
    </cacheField>
    <cacheField name="GNI per capita _x000a_(USD)" numFmtId="164">
      <sharedItems containsSemiMixedTypes="0" containsString="0" containsNumber="1" minValue="3171.1888225349981" maxValue="16203.782797812615"/>
    </cacheField>
    <cacheField name="Income _x000a_Index" numFmtId="165">
      <sharedItems containsSemiMixedTypes="0" containsString="0" containsNumber="1" minValue="0.52215308284681639" maxValue="0.76854585369132022"/>
    </cacheField>
    <cacheField name="HDI" numFmtId="167">
      <sharedItems containsSemiMixedTypes="0" containsString="0" containsNumber="1" minValue="0.58842603945734551" maxValue="0.76878830030464618" count="170">
        <n v="0.60049127762697252"/>
        <n v="0.74121581216264676"/>
        <n v="0.71445944775527304"/>
        <n v="0.70671393870610555"/>
        <n v="0.72391428949387893"/>
        <n v="0.73112305808688804"/>
        <n v="0.68713638694969137"/>
        <n v="0.67941806088215428"/>
        <n v="0.76542987427233022"/>
        <n v="0.68373823488135699"/>
        <n v="0.68574251811657139"/>
        <n v="0.69696042691374915"/>
        <n v="0.69647408246761744"/>
        <n v="0.69841029173502012"/>
        <n v="0.69154785486865489"/>
        <n v="0.66514582490947671"/>
        <n v="0.70216646387475568"/>
        <n v="0.58842603945734551"/>
        <n v="0.71940373300932214"/>
        <n v="0.70515264803175282"/>
        <n v="0.68592027504259667"/>
        <n v="0.71438772256945282"/>
        <n v="0.7234466505305851"/>
        <n v="0.67010410150577948"/>
        <n v="0.6663505565638016"/>
        <n v="0.75572082270546814"/>
        <n v="0.67147346948555253"/>
        <n v="0.67429816137801568"/>
        <n v="0.6844405084402565"/>
        <n v="0.67879708470159006"/>
        <n v="0.68359778408168359"/>
        <n v="0.68830462088590894"/>
        <n v="0.65516592883173119"/>
        <n v="0.68593275330636871"/>
        <n v="0.61637129976612726"/>
        <n v="0.7500640312378819"/>
        <n v="0.72188608852853842"/>
        <n v="0.71845534267473254"/>
        <n v="0.73245110779066791"/>
        <n v="0.73773666047860753"/>
        <n v="0.6972323591018933"/>
        <n v="0.68619002467196155"/>
        <n v="0.76878830030464618"/>
        <n v="0.69164288610728342"/>
        <n v="0.70043205743911641"/>
        <n v="0.70415305049814714"/>
        <n v="0.70558988876981577"/>
        <n v="0.71127238252560154"/>
        <n v="0.70495337262795721"/>
        <n v="0.67889732059230279"/>
        <n v="0.71385478079288822"/>
        <n v="0.601533406584006"/>
        <n v="0.72862527801039612"/>
        <n v="0.71028286191510115"/>
        <n v="0.69867474031796784"/>
        <n v="0.72224681908196331"/>
        <n v="0.72830563189877306"/>
        <n v="0.6806402705740876"/>
        <n v="0.67270728879078023"/>
        <n v="0.75812250217700849"/>
        <n v="0.67755036255436951"/>
        <n v="0.68912024760116919"/>
        <n v="0.69192509967552251"/>
        <n v="0.68688881394484413"/>
        <n v="0.69443119327567104"/>
        <n v="0.69723467826215912"/>
        <n v="0.665804375186551"/>
        <n v="0.69572421296686515"/>
        <n v="0.61680758020955795"/>
        <n v="0.74172327419577122"/>
        <n v="0.71264494659602795"/>
        <n v="0.7135669462316081"/>
        <n v="0.72405368557140026"/>
        <n v="0.72753806177926794"/>
        <n v="0.69083391563426266"/>
        <n v="0.67689401933737459"/>
        <n v="0.75485796028539731"/>
        <n v="0.68344599833432373"/>
        <n v="0.69862824970934212"/>
        <n v="0.69491351600593709"/>
        <n v="0.69812660533492144"/>
        <n v="0.7075381598712106"/>
        <n v="0.70188947653140088"/>
        <n v="0.6764883847665204"/>
        <n v="0.70895764193886035"/>
        <n v="0.60003785608056093"/>
        <n v="0.72099655254124806"/>
        <n v="0.69928498186541721"/>
        <n v="0.69503677890112237"/>
        <n v="0.71352733577851857"/>
        <n v="0.71669351997462161"/>
        <n v="0.67520566751209854"/>
        <n v="0.66328242413434879"/>
        <n v="0.74345461084331532"/>
        <n v="0.66783837782925082"/>
        <n v="0.68783050994337891"/>
        <n v="0.68353414561706161"/>
        <n v="0.6790824088927272"/>
        <n v="0.68927493227361558"/>
        <n v="0.69017691321501473"/>
        <n v="0.66108988341431574"/>
        <n v="0.68937796911806315"/>
        <n v="0.61664746911460344"/>
        <n v="0.73179584795708741"/>
        <n v="0.70141502207835438"/>
        <n v="0.70712790005425996"/>
        <n v="0.71372208240485646"/>
        <n v="0.71533108570830684"/>
        <n v="0.68307037783335556"/>
        <n v="0.66630128827379953"/>
        <n v="0.73906146409464124"/>
        <n v="0.67395660611271635"/>
        <n v="0.69525303583175491"/>
        <n v="0.68433894255152372"/>
        <n v="0.68933281358411369"/>
        <n v="0.70215363617696025"/>
        <n v="0.69727986079158388"/>
        <n v="0.67268397121648404"/>
        <n v="0.70252168728513864"/>
        <n v="0.59548464047510785"/>
        <n v="0.70897067531682423"/>
        <n v="0.68383585837227967"/>
        <n v="0.68728558685694474"/>
        <n v="0.70013446284576131"/>
        <n v="0.70051524948918775"/>
        <n v="0.66582203304470866"/>
        <n v="0.65006486584462397"/>
        <n v="0.7242287739874369"/>
        <n v="0.65437825791357085"/>
        <n v="0.68220490320698013"/>
        <n v="0.67098688759297853"/>
        <n v="0.66742356287741444"/>
        <n v="0.67990984552368838"/>
        <n v="0.67922581398226978"/>
        <n v="0.65235249339743662"/>
        <n v="0.67902515754067838"/>
        <n v="0.62799616389993052"/>
        <n v="0.73654053531170816"/>
        <n v="0.70490187465978738"/>
        <n v="0.71485286367153489"/>
        <n v="0.71808184439013523"/>
        <n v="0.7178263183330984"/>
        <n v="0.68915665912192126"/>
        <n v="0.66923987042478872"/>
        <n v="0.73827445364377953"/>
        <n v="0.6781637373020204"/>
        <n v="0.70590933082405827"/>
        <n v="0.6875678293391505"/>
        <n v="0.69447359256717267"/>
        <n v="0.71084998999028193"/>
        <n v="0.70657762877679442"/>
        <n v="0.68239656092862688"/>
        <n v="0.71017123044147157"/>
        <n v="0.62322779885926705"/>
        <n v="0.7342248056892392"/>
        <n v="0.70481730087872785"/>
        <n v="0.71552506027939133"/>
        <n v="0.72369053280072504"/>
        <n v="0.72138946416411165"/>
        <n v="0.69182929122673464"/>
        <n v="0.67159499886266971"/>
        <n v="0.74270958122972008"/>
        <n v="0.67590247733932041"/>
        <n v="0.71286503087330555"/>
        <n v="0.69417067229169804"/>
        <n v="0.69128063055021816"/>
        <n v="0.70639699829965086"/>
        <n v="0.70417431181954993"/>
        <n v="0.67854210576956064"/>
        <n v="0.7045245741549393"/>
      </sharedItems>
    </cacheField>
  </cacheFields>
  <extLst>
    <ext xmlns:x14="http://schemas.microsoft.com/office/spreadsheetml/2009/9/main" uri="{725AE2AE-9491-48be-B2B4-4EB974FC3084}">
      <x14:pivotCacheDefinition pivotCacheId="1771038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x v="0"/>
    <x v="0"/>
    <n v="69.31"/>
    <n v="0.75861538461538469"/>
    <n v="11.96"/>
    <n v="0.6644444444444445"/>
    <n v="6.2350000000000003"/>
    <n v="0.41566666666666668"/>
    <n v="0.54005555555555562"/>
    <n v="174182.025345712"/>
    <n v="3307.6723385057353"/>
    <n v="0.52851829652888027"/>
    <x v="0"/>
  </r>
  <r>
    <x v="1"/>
    <x v="0"/>
    <x v="0"/>
    <n v="76.569999999999993"/>
    <n v="0.87030769230769223"/>
    <n v="14.16"/>
    <n v="0.78666666666666663"/>
    <n v="9.5389999999999997"/>
    <n v="0.63593333333333335"/>
    <n v="0.71130000000000004"/>
    <n v="409976.92395836528"/>
    <n v="7785.3574621793641"/>
    <n v="0.65782200258995593"/>
    <x v="1"/>
  </r>
  <r>
    <x v="2"/>
    <x v="0"/>
    <x v="0"/>
    <n v="72.739999999999995"/>
    <n v="0.81138461538461526"/>
    <n v="13.16"/>
    <n v="0.73111111111111116"/>
    <n v="9.2989999999999995"/>
    <n v="0.61993333333333334"/>
    <n v="0.67552222222222225"/>
    <n v="430996.89033858007"/>
    <n v="8184.5212749445518"/>
    <n v="0.66537478915894377"/>
    <x v="2"/>
  </r>
  <r>
    <x v="3"/>
    <x v="0"/>
    <x v="0"/>
    <n v="74.63"/>
    <n v="0.84046153846153837"/>
    <n v="13.65"/>
    <n v="0.7583333333333333"/>
    <n v="8.4090000000000007"/>
    <n v="0.5606000000000001"/>
    <n v="0.65946666666666665"/>
    <n v="356773.41024966637"/>
    <n v="6775.0362751550774"/>
    <n v="0.63682525592816897"/>
    <x v="3"/>
  </r>
  <r>
    <x v="4"/>
    <x v="0"/>
    <x v="0"/>
    <n v="74.959999999999994"/>
    <n v="0.84553846153846146"/>
    <n v="12.85"/>
    <n v="0.71388888888888891"/>
    <n v="9.0020000000000007"/>
    <n v="0.60013333333333341"/>
    <n v="0.65701111111111121"/>
    <n v="484007.72875249427"/>
    <n v="9191.1836071495309"/>
    <n v="0.68289725399899592"/>
    <x v="4"/>
  </r>
  <r>
    <x v="5"/>
    <x v="0"/>
    <x v="0"/>
    <n v="74.48"/>
    <n v="0.83815384615384625"/>
    <n v="13.06"/>
    <n v="0.72555555555555562"/>
    <n v="9.4789999999999992"/>
    <n v="0.63193333333333324"/>
    <n v="0.67874444444444437"/>
    <n v="497253.95680899755"/>
    <n v="9442.7261072730271"/>
    <n v="0.68697575874624961"/>
    <x v="5"/>
  </r>
  <r>
    <x v="6"/>
    <x v="0"/>
    <x v="0"/>
    <n v="72.7"/>
    <n v="0.8107692307692308"/>
    <n v="13.41"/>
    <n v="0.745"/>
    <n v="8.3330000000000002"/>
    <n v="0.55553333333333332"/>
    <n v="0.65026666666666666"/>
    <n v="309544.19448158017"/>
    <n v="5878.1654857876983"/>
    <n v="0.61537534207224309"/>
    <x v="6"/>
  </r>
  <r>
    <x v="7"/>
    <x v="0"/>
    <x v="0"/>
    <n v="73.44"/>
    <n v="0.82215384615384612"/>
    <n v="13.34"/>
    <n v="0.74111111111111105"/>
    <n v="7.73"/>
    <n v="0.51533333333333331"/>
    <n v="0.62822222222222224"/>
    <n v="293272.10823308572"/>
    <n v="5569.1627085660029"/>
    <n v="0.60721833257773594"/>
    <x v="7"/>
  </r>
  <r>
    <x v="8"/>
    <x v="0"/>
    <x v="0"/>
    <n v="76.790000000000006"/>
    <n v="0.87369230769230777"/>
    <n v="13.56"/>
    <n v="0.75333333333333341"/>
    <n v="10.52"/>
    <n v="0.70133333333333325"/>
    <n v="0.72733333333333339"/>
    <n v="562899.37102492293"/>
    <n v="10689.315818931314"/>
    <n v="0.70570666943733984"/>
    <x v="8"/>
  </r>
  <r>
    <x v="9"/>
    <x v="0"/>
    <x v="0"/>
    <n v="71.989999999999995"/>
    <n v="0.79984615384615376"/>
    <n v="13.28"/>
    <n v="0.73777777777777775"/>
    <n v="8.4830000000000005"/>
    <n v="0.56553333333333333"/>
    <n v="0.65165555555555554"/>
    <n v="305240.77001911157"/>
    <n v="5796.4445503059551"/>
    <n v="0.61326056183292632"/>
    <x v="9"/>
  </r>
  <r>
    <x v="10"/>
    <x v="0"/>
    <x v="0"/>
    <n v="70.86"/>
    <n v="0.78246153846153843"/>
    <n v="13.52"/>
    <n v="0.75111111111111106"/>
    <n v="8.6"/>
    <n v="0.57333333333333336"/>
    <n v="0.66222222222222227"/>
    <n v="324115.80510194"/>
    <n v="6154.87666353855"/>
    <n v="0.62232390571571194"/>
    <x v="10"/>
  </r>
  <r>
    <x v="11"/>
    <x v="0"/>
    <x v="0"/>
    <n v="73.19"/>
    <n v="0.81830769230769229"/>
    <n v="13.38"/>
    <n v="0.7433333333333334"/>
    <n v="8.3260000000000005"/>
    <n v="0.55506666666666671"/>
    <n v="0.6492"/>
    <n v="357845.3375674467"/>
    <n v="6795.3919021543243"/>
    <n v="0.63727842312230831"/>
    <x v="11"/>
  </r>
  <r>
    <x v="12"/>
    <x v="0"/>
    <x v="0"/>
    <n v="72.819999999999993"/>
    <n v="0.81261538461538452"/>
    <n v="13.9"/>
    <n v="0.77222222222222225"/>
    <n v="8.4049999999999994"/>
    <n v="0.56033333333333324"/>
    <n v="0.66627777777777775"/>
    <n v="327700.76006211969"/>
    <n v="6222.9540459954369"/>
    <n v="0.62398551876088948"/>
    <x v="12"/>
  </r>
  <r>
    <x v="13"/>
    <x v="0"/>
    <x v="0"/>
    <n v="73.150000000000006"/>
    <n v="0.81769230769230783"/>
    <n v="13.29"/>
    <n v="0.73833333333333329"/>
    <n v="8.7490000000000006"/>
    <n v="0.58326666666666671"/>
    <n v="0.66080000000000005"/>
    <n v="342099.24160019465"/>
    <n v="6496.3775465285735"/>
    <n v="0.6304809152102191"/>
    <x v="13"/>
  </r>
  <r>
    <x v="14"/>
    <x v="0"/>
    <x v="0"/>
    <n v="74.5"/>
    <n v="0.83846153846153848"/>
    <n v="13.01"/>
    <n v="0.72277777777777774"/>
    <n v="8.4540000000000006"/>
    <n v="0.56359999999999999"/>
    <n v="0.64318888888888881"/>
    <n v="305240.77001911157"/>
    <n v="5796.4445503059551"/>
    <n v="0.61326056183292632"/>
    <x v="14"/>
  </r>
  <r>
    <x v="15"/>
    <x v="0"/>
    <x v="0"/>
    <n v="70.36"/>
    <n v="0.77476923076923077"/>
    <n v="12.95"/>
    <n v="0.71944444444444444"/>
    <n v="8.0579999999999998"/>
    <n v="0.53720000000000001"/>
    <n v="0.62832222222222223"/>
    <n v="288040.43658410263"/>
    <n v="5469.8145952165332"/>
    <n v="0.60449932941290019"/>
    <x v="15"/>
  </r>
  <r>
    <x v="16"/>
    <x v="0"/>
    <x v="0"/>
    <n v="73.89"/>
    <n v="0.82907692307692304"/>
    <n v="13.3"/>
    <n v="0.73888888888888893"/>
    <n v="8.5830000000000002"/>
    <n v="0.57220000000000004"/>
    <n v="0.65554444444444449"/>
    <n v="357130.36210609809"/>
    <n v="6781.8147000778226"/>
    <n v="0.63697631165954871"/>
    <x v="16"/>
  </r>
  <r>
    <x v="0"/>
    <x v="0"/>
    <x v="1"/>
    <n v="66.349999999999994"/>
    <n v="0.71307692307692294"/>
    <n v="10.85"/>
    <n v="0.60277777777777775"/>
    <n v="5.6520000000000001"/>
    <n v="0.37680000000000002"/>
    <n v="0.48978888888888888"/>
    <n v="250410.32567225737"/>
    <n v="4755.2283644560839"/>
    <n v="0.58335152701973392"/>
    <x v="17"/>
  </r>
  <r>
    <x v="1"/>
    <x v="0"/>
    <x v="1"/>
    <n v="72.25"/>
    <n v="0.80384615384615388"/>
    <n v="12.69"/>
    <n v="0.70499999999999996"/>
    <n v="8.7629999999999999"/>
    <n v="0.58419999999999994"/>
    <n v="0.64459999999999995"/>
    <n v="612838.15206862811"/>
    <n v="11637.640563399698"/>
    <n v="0.71854640660461955"/>
    <x v="18"/>
  </r>
  <r>
    <x v="2"/>
    <x v="0"/>
    <x v="1"/>
    <n v="69.150000000000006"/>
    <n v="0.75615384615384629"/>
    <n v="12.5"/>
    <n v="0.69444444444444442"/>
    <n v="8.734"/>
    <n v="0.58226666666666671"/>
    <n v="0.63835555555555556"/>
    <n v="645548.84347580932"/>
    <n v="12258.808269574807"/>
    <n v="0.7264013046363671"/>
    <x v="19"/>
  </r>
  <r>
    <x v="3"/>
    <x v="0"/>
    <x v="1"/>
    <n v="70.680000000000007"/>
    <n v="0.7796923076923078"/>
    <n v="12"/>
    <n v="0.66666666666666663"/>
    <n v="7.8280000000000003"/>
    <n v="0.5218666666666667"/>
    <n v="0.59426666666666672"/>
    <n v="529588.80991554609"/>
    <n v="10056.756739755909"/>
    <n v="0.69649226982317436"/>
    <x v="20"/>
  </r>
  <r>
    <x v="4"/>
    <x v="0"/>
    <x v="1"/>
    <n v="70.95"/>
    <n v="0.78384615384615386"/>
    <n v="12.06"/>
    <n v="0.67"/>
    <n v="8.6880000000000006"/>
    <n v="0.57920000000000005"/>
    <n v="0.62460000000000004"/>
    <n v="728582.50689672586"/>
    <n v="13835.596408976944"/>
    <n v="0.7446790481333182"/>
    <x v="21"/>
  </r>
  <r>
    <x v="5"/>
    <x v="0"/>
    <x v="1"/>
    <n v="70.56"/>
    <n v="0.77784615384615385"/>
    <n v="12.46"/>
    <n v="0.69222222222222229"/>
    <n v="9.1120000000000001"/>
    <n v="0.60746666666666671"/>
    <n v="0.64984444444444445"/>
    <n v="750020.75170383614"/>
    <n v="14242.703222632666"/>
    <n v="0.74905966434333127"/>
    <x v="22"/>
  </r>
  <r>
    <x v="6"/>
    <x v="0"/>
    <x v="1"/>
    <n v="69.12"/>
    <n v="0.75569230769230777"/>
    <n v="12.14"/>
    <n v="0.67444444444444451"/>
    <n v="7.6029999999999998"/>
    <n v="0.50686666666666669"/>
    <n v="0.5906555555555556"/>
    <n v="456733.8677962955"/>
    <n v="8673.2599277686204"/>
    <n v="0.6741360215789699"/>
    <x v="23"/>
  </r>
  <r>
    <x v="7"/>
    <x v="0"/>
    <x v="1"/>
    <n v="69.72"/>
    <n v="0.76492307692307693"/>
    <n v="12.21"/>
    <n v="0.67833333333333334"/>
    <n v="7.2610000000000001"/>
    <n v="0.4840666666666667"/>
    <n v="0.58120000000000005"/>
    <n v="431428.10279921431"/>
    <n v="8192.7098898445565"/>
    <n v="0.66552584489032351"/>
    <x v="24"/>
  </r>
  <r>
    <x v="8"/>
    <x v="0"/>
    <x v="1"/>
    <n v="72.430000000000007"/>
    <n v="0.80661538461538473"/>
    <n v="12.8"/>
    <n v="0.71111111111111114"/>
    <n v="10.220000000000001"/>
    <n v="0.68133333333333335"/>
    <n v="0.6962222222222223"/>
    <n v="853291.20213281224"/>
    <n v="16203.782797812615"/>
    <n v="0.76854585369132022"/>
    <x v="25"/>
  </r>
  <r>
    <x v="9"/>
    <x v="0"/>
    <x v="1"/>
    <n v="68.55"/>
    <n v="0.74692307692307691"/>
    <n v="12.29"/>
    <n v="0.68277777777777771"/>
    <n v="7.8570000000000002"/>
    <n v="0.52380000000000004"/>
    <n v="0.60328888888888887"/>
    <n v="449933.98638721806"/>
    <n v="8544.1319101256759"/>
    <n v="0.67187018560827361"/>
    <x v="26"/>
  </r>
  <r>
    <x v="10"/>
    <x v="0"/>
    <x v="1"/>
    <n v="67.62"/>
    <n v="0.73261538461538467"/>
    <n v="12.48"/>
    <n v="0.69333333333333336"/>
    <n v="8.0250000000000004"/>
    <n v="0.53500000000000003"/>
    <n v="0.61416666666666675"/>
    <n v="479191.77138471947"/>
    <n v="9099.7298022164741"/>
    <n v="0.68138669668519836"/>
    <x v="27"/>
  </r>
  <r>
    <x v="11"/>
    <x v="0"/>
    <x v="1"/>
    <n v="69.52"/>
    <n v="0.76184615384615384"/>
    <n v="12.36"/>
    <n v="0.68666666666666665"/>
    <n v="7.8159999999999998"/>
    <n v="0.52106666666666668"/>
    <n v="0.60386666666666666"/>
    <n v="531179.96187987563"/>
    <n v="10086.972310669877"/>
    <n v="0.69694543701731371"/>
    <x v="28"/>
  </r>
  <r>
    <x v="12"/>
    <x v="0"/>
    <x v="1"/>
    <n v="69.22"/>
    <n v="0.75723076923076926"/>
    <n v="12.84"/>
    <n v="0.71333333333333337"/>
    <n v="7.4370000000000003"/>
    <n v="0.49580000000000002"/>
    <n v="0.6045666666666667"/>
    <n v="484976.71287112357"/>
    <n v="9209.584368992093"/>
    <n v="0.68319936546175564"/>
    <x v="29"/>
  </r>
  <r>
    <x v="13"/>
    <x v="0"/>
    <x v="1"/>
    <n v="69.48"/>
    <n v="0.76123076923076927"/>
    <n v="12.32"/>
    <n v="0.68444444444444441"/>
    <n v="7.9790000000000001"/>
    <n v="0.53193333333333337"/>
    <n v="0.60818888888888889"/>
    <n v="507299.15307014569"/>
    <n v="9633.48182814557"/>
    <n v="0.68999687337384485"/>
    <x v="30"/>
  </r>
  <r>
    <x v="14"/>
    <x v="0"/>
    <x v="1"/>
    <n v="70.58"/>
    <n v="0.77815384615384608"/>
    <n v="13.13"/>
    <n v="0.72944444444444445"/>
    <n v="7.77"/>
    <n v="0.51800000000000002"/>
    <n v="0.62372222222222229"/>
    <n v="449933.98638721806"/>
    <n v="8544.1319101256759"/>
    <n v="0.67187018560827361"/>
    <x v="31"/>
  </r>
  <r>
    <x v="15"/>
    <x v="0"/>
    <x v="1"/>
    <n v="67.22"/>
    <n v="0.72646153846153849"/>
    <n v="12.11"/>
    <n v="0.6727777777777777"/>
    <n v="7.4340000000000002"/>
    <n v="0.49559999999999998"/>
    <n v="0.58418888888888887"/>
    <n v="423308.35075815755"/>
    <n v="8038.5178647580251"/>
    <n v="0.66265578599410824"/>
    <x v="32"/>
  </r>
  <r>
    <x v="16"/>
    <x v="0"/>
    <x v="1"/>
    <n v="70.08"/>
    <n v="0.77046153846153842"/>
    <n v="12.44"/>
    <n v="0.69111111111111112"/>
    <n v="7.6719999999999997"/>
    <n v="0.51146666666666663"/>
    <n v="0.60128888888888887"/>
    <n v="530118.66360815417"/>
    <n v="10066.818526550593"/>
    <n v="0.69664332555455433"/>
    <x v="33"/>
  </r>
  <r>
    <x v="0"/>
    <x v="1"/>
    <x v="0"/>
    <n v="70.31"/>
    <n v="0.77400000000000002"/>
    <n v="12.31"/>
    <n v="0.68388888888888888"/>
    <n v="6.5389999999999997"/>
    <n v="0.43593333333333334"/>
    <n v="0.55991111111111114"/>
    <n v="185285.13474345289"/>
    <n v="3576.9331031554611"/>
    <n v="0.54034007473300849"/>
    <x v="34"/>
  </r>
  <r>
    <x v="1"/>
    <x v="1"/>
    <x v="0"/>
    <n v="76.489999999999995"/>
    <n v="0.86907692307692297"/>
    <n v="14.27"/>
    <n v="0.7927777777777778"/>
    <n v="9.93"/>
    <n v="0.66200000000000003"/>
    <n v="0.72738888888888886"/>
    <n v="430047.60309225792"/>
    <n v="8302.0772797733189"/>
    <n v="0.66752900055476705"/>
    <x v="35"/>
  </r>
  <r>
    <x v="2"/>
    <x v="1"/>
    <x v="0"/>
    <n v="72.34"/>
    <n v="0.80523076923076931"/>
    <n v="13.46"/>
    <n v="0.74777777777777787"/>
    <n v="9.5909999999999993"/>
    <n v="0.63939999999999997"/>
    <n v="0.69358888888888892"/>
    <n v="447598.17871403438"/>
    <n v="8640.8914809659145"/>
    <n v="0.67357122980995787"/>
    <x v="36"/>
  </r>
  <r>
    <x v="3"/>
    <x v="1"/>
    <x v="0"/>
    <n v="75.14"/>
    <n v="0.84830769230769232"/>
    <n v="13.88"/>
    <n v="0.77111111111111119"/>
    <n v="8.657"/>
    <n v="0.57713333333333339"/>
    <n v="0.67412222222222229"/>
    <n v="379136.35170975653"/>
    <n v="7319.2345889914395"/>
    <n v="0.64849597840091755"/>
    <x v="37"/>
  </r>
  <r>
    <x v="4"/>
    <x v="1"/>
    <x v="0"/>
    <n v="74.8"/>
    <n v="0.84307692307692306"/>
    <n v="13.16"/>
    <n v="0.73111111111111116"/>
    <n v="9.2970000000000006"/>
    <n v="0.61980000000000002"/>
    <n v="0.67545555555555559"/>
    <n v="499144.63698329392"/>
    <n v="9635.9968529593425"/>
    <n v="0.69003630453035181"/>
    <x v="38"/>
  </r>
  <r>
    <x v="5"/>
    <x v="1"/>
    <x v="0"/>
    <n v="74.290000000000006"/>
    <n v="0.83523076923076933"/>
    <n v="13.32"/>
    <n v="0.74"/>
    <n v="9.718"/>
    <n v="0.6478666666666667"/>
    <n v="0.69393333333333329"/>
    <n v="508210.58923991304"/>
    <n v="9811.0152362917579"/>
    <n v="0.69275530769518701"/>
    <x v="39"/>
  </r>
  <r>
    <x v="6"/>
    <x v="1"/>
    <x v="0"/>
    <n v="72.91"/>
    <n v="0.81399999999999995"/>
    <n v="13.63"/>
    <n v="0.75722222222222224"/>
    <n v="8.6020000000000003"/>
    <n v="0.57346666666666668"/>
    <n v="0.66534444444444452"/>
    <n v="326325.68206928344"/>
    <n v="6299.7235920711091"/>
    <n v="0.62583761869395338"/>
    <x v="40"/>
  </r>
  <r>
    <x v="7"/>
    <x v="1"/>
    <x v="0"/>
    <n v="73.12"/>
    <n v="0.81723076923076932"/>
    <n v="13.52"/>
    <n v="0.75111111111111106"/>
    <n v="7.94"/>
    <n v="0.52933333333333332"/>
    <n v="0.64022222222222225"/>
    <n v="308862.41147436737"/>
    <n v="5962.5948161074784"/>
    <n v="0.61752955346806659"/>
    <x v="41"/>
  </r>
  <r>
    <x v="8"/>
    <x v="1"/>
    <x v="0"/>
    <n v="76.8"/>
    <n v="0.87384615384615383"/>
    <n v="13.65"/>
    <n v="0.7583333333333333"/>
    <n v="10.7"/>
    <n v="0.71333333333333326"/>
    <n v="0.73583333333333334"/>
    <n v="557184.21225160477"/>
    <n v="10756.451973969204"/>
    <n v="0.70665243498212538"/>
    <x v="42"/>
  </r>
  <r>
    <x v="9"/>
    <x v="1"/>
    <x v="0"/>
    <n v="72.44"/>
    <n v="0.80676923076923068"/>
    <n v="13.2"/>
    <n v="0.73333333333333328"/>
    <n v="8.673"/>
    <n v="0.57820000000000005"/>
    <n v="0.65576666666666661"/>
    <n v="325348.17202127998"/>
    <n v="6280.8527417235518"/>
    <n v="0.62538445149981414"/>
    <x v="43"/>
  </r>
  <r>
    <x v="10"/>
    <x v="1"/>
    <x v="0"/>
    <n v="71.8"/>
    <n v="0.79692307692307685"/>
    <n v="13.7"/>
    <n v="0.76111111111111107"/>
    <n v="8.968"/>
    <n v="0.59786666666666666"/>
    <n v="0.67948888888888881"/>
    <n v="345812.21877420729"/>
    <n v="6675.9115593476317"/>
    <n v="0.63459885111397951"/>
    <x v="44"/>
  </r>
  <r>
    <x v="11"/>
    <x v="1"/>
    <x v="0"/>
    <n v="73.3"/>
    <n v="0.82"/>
    <n v="13.52"/>
    <n v="0.75111111111111106"/>
    <n v="8.5690000000000008"/>
    <n v="0.5712666666666667"/>
    <n v="0.66118888888888883"/>
    <n v="367931.17912260914"/>
    <n v="7102.9185158804858"/>
    <n v="0.64396430645952452"/>
    <x v="45"/>
  </r>
  <r>
    <x v="12"/>
    <x v="1"/>
    <x v="0"/>
    <n v="72.98"/>
    <n v="0.81507692307692314"/>
    <n v="14.05"/>
    <n v="0.78055555555555556"/>
    <n v="8.6950000000000003"/>
    <n v="0.57966666666666666"/>
    <n v="0.68011111111111111"/>
    <n v="343743.55765091151"/>
    <n v="6635.9760164268637"/>
    <n v="0.63369251672570093"/>
    <x v="46"/>
  </r>
  <r>
    <x v="13"/>
    <x v="1"/>
    <x v="0"/>
    <n v="73.63"/>
    <n v="0.82507692307692304"/>
    <n v="13.57"/>
    <n v="0.75388888888888894"/>
    <n v="8.9949999999999992"/>
    <n v="0.59966666666666657"/>
    <n v="0.6767777777777777"/>
    <n v="369036.63000721583"/>
    <n v="7124.259266548569"/>
    <n v="0.64441747365366386"/>
    <x v="47"/>
  </r>
  <r>
    <x v="14"/>
    <x v="1"/>
    <x v="0"/>
    <n v="74.930000000000007"/>
    <n v="0.84507692307692317"/>
    <n v="13.22"/>
    <n v="0.73444444444444446"/>
    <n v="8.76"/>
    <n v="0.58399999999999996"/>
    <n v="0.65922222222222215"/>
    <n v="332917.89813222789"/>
    <n v="6426.9864504291099"/>
    <n v="0.62885873332154829"/>
    <x v="48"/>
  </r>
  <r>
    <x v="15"/>
    <x v="1"/>
    <x v="0"/>
    <n v="71.03"/>
    <n v="0.78507692307692312"/>
    <n v="13.24"/>
    <n v="0.73555555555555552"/>
    <n v="8.3339999999999996"/>
    <n v="0.55559999999999998"/>
    <n v="0.64557777777777781"/>
    <n v="308553.70344263472"/>
    <n v="5956.6352015952652"/>
    <n v="0.61737849773668696"/>
    <x v="49"/>
  </r>
  <r>
    <x v="16"/>
    <x v="1"/>
    <x v="0"/>
    <n v="74.400000000000006"/>
    <n v="0.83692307692307699"/>
    <n v="13.56"/>
    <n v="0.75333333333333341"/>
    <n v="8.8780000000000001"/>
    <n v="0.59186666666666665"/>
    <n v="0.67260000000000009"/>
    <n v="373491.74680682697"/>
    <n v="7210.2653823711771"/>
    <n v="0.64623014243022081"/>
    <x v="50"/>
  </r>
  <r>
    <x v="0"/>
    <x v="1"/>
    <x v="1"/>
    <n v="67.19"/>
    <n v="0.72599999999999998"/>
    <n v="11.1"/>
    <n v="0.6166666666666667"/>
    <n v="5.9740000000000002"/>
    <n v="0.39826666666666666"/>
    <n v="0.50746666666666673"/>
    <n v="258758.68453224786"/>
    <n v="4995.3414002364452"/>
    <n v="0.59079268901384907"/>
    <x v="51"/>
  </r>
  <r>
    <x v="1"/>
    <x v="1"/>
    <x v="1"/>
    <n v="72.2"/>
    <n v="0.80307692307692313"/>
    <n v="13.06"/>
    <n v="0.72555555555555562"/>
    <n v="9.1"/>
    <n v="0.60666666666666669"/>
    <n v="0.6661111111111111"/>
    <n v="621350.85570764763"/>
    <n v="11995.190264626402"/>
    <n v="0.72311750970251898"/>
    <x v="52"/>
  </r>
  <r>
    <x v="2"/>
    <x v="1"/>
    <x v="1"/>
    <n v="68.849999999999994"/>
    <n v="0.75153846153846149"/>
    <n v="12.73"/>
    <n v="0.7072222222222222"/>
    <n v="9.0050000000000008"/>
    <n v="0.60033333333333339"/>
    <n v="0.65377777777777779"/>
    <n v="647355.69730149838"/>
    <n v="12497.214233619661"/>
    <n v="0.72931079468908955"/>
    <x v="53"/>
  </r>
  <r>
    <x v="3"/>
    <x v="1"/>
    <x v="1"/>
    <n v="71.11"/>
    <n v="0.78630769230769226"/>
    <n v="12.51"/>
    <n v="0.69499999999999995"/>
    <n v="8.0760000000000005"/>
    <n v="0.53839999999999999"/>
    <n v="0.61670000000000003"/>
    <n v="545060.01475983299"/>
    <n v="10522.394107332684"/>
    <n v="0.70332920889177064"/>
    <x v="54"/>
  </r>
  <r>
    <x v="4"/>
    <x v="1"/>
    <x v="1"/>
    <n v="70.84"/>
    <n v="0.7821538461538462"/>
    <n v="12.42"/>
    <n v="0.69"/>
    <n v="9.0069999999999997"/>
    <n v="0.60046666666666659"/>
    <n v="0.64523333333333333"/>
    <n v="725525.27330651623"/>
    <n v="14006.279407461705"/>
    <n v="0.7465311480663821"/>
    <x v="55"/>
  </r>
  <r>
    <x v="5"/>
    <x v="1"/>
    <x v="1"/>
    <n v="70.430000000000007"/>
    <n v="0.77584615384615396"/>
    <n v="12.66"/>
    <n v="0.70333333333333337"/>
    <n v="9.3870000000000005"/>
    <n v="0.62580000000000002"/>
    <n v="0.66456666666666675"/>
    <n v="738702.9717157816"/>
    <n v="14260.675129648294"/>
    <n v="0.74925015123121785"/>
    <x v="56"/>
  </r>
  <r>
    <x v="6"/>
    <x v="1"/>
    <x v="1"/>
    <n v="69.31"/>
    <n v="0.75861538461538469"/>
    <n v="12.6"/>
    <n v="0.7"/>
    <n v="7.8440000000000003"/>
    <n v="0.52293333333333336"/>
    <n v="0.6114666666666666"/>
    <n v="466331.10493153788"/>
    <n v="9002.5309832343228"/>
    <n v="0.67976451479652789"/>
    <x v="57"/>
  </r>
  <r>
    <x v="7"/>
    <x v="1"/>
    <x v="1"/>
    <n v="69.489999999999995"/>
    <n v="0.76138461538461533"/>
    <n v="12.54"/>
    <n v="0.69666666666666666"/>
    <n v="7.4219999999999997"/>
    <n v="0.49479999999999996"/>
    <n v="0.59573333333333334"/>
    <n v="440493.59607946913"/>
    <n v="8503.7373760515275"/>
    <n v="0.67115433810788139"/>
    <x v="58"/>
  </r>
  <r>
    <x v="8"/>
    <x v="1"/>
    <x v="1"/>
    <n v="72.459999999999994"/>
    <n v="0.80707692307692303"/>
    <n v="12.92"/>
    <n v="0.71777777777777774"/>
    <n v="10.44"/>
    <n v="0.69599999999999995"/>
    <n v="0.7068888888888889"/>
    <n v="813133.99171543447"/>
    <n v="15697.567407633871"/>
    <n v="0.76375150144367465"/>
    <x v="59"/>
  </r>
  <r>
    <x v="9"/>
    <x v="1"/>
    <x v="1"/>
    <n v="68.930000000000007"/>
    <n v="0.75276923076923086"/>
    <n v="12.24"/>
    <n v="0.68"/>
    <n v="8.048"/>
    <n v="0.53653333333333331"/>
    <n v="0.60826666666666673"/>
    <n v="464934.20800979831"/>
    <n v="8975.563861193019"/>
    <n v="0.67931134760238854"/>
    <x v="60"/>
  </r>
  <r>
    <x v="10"/>
    <x v="1"/>
    <x v="1"/>
    <n v="68.41"/>
    <n v="0.74476923076923074"/>
    <n v="12.84"/>
    <n v="0.71333333333333337"/>
    <n v="8.4369999999999994"/>
    <n v="0.56246666666666667"/>
    <n v="0.63790000000000002"/>
    <n v="495167.41000718606"/>
    <n v="9559.2164094051368"/>
    <n v="0.68882785867931329"/>
    <x v="61"/>
  </r>
  <r>
    <x v="11"/>
    <x v="1"/>
    <x v="1"/>
    <n v="69.62"/>
    <n v="0.76338461538461544"/>
    <n v="12.65"/>
    <n v="0.70277777777777783"/>
    <n v="8.0960000000000001"/>
    <n v="0.53973333333333329"/>
    <n v="0.62125555555555556"/>
    <n v="527894.21192308282"/>
    <n v="10191.007952183067"/>
    <n v="0.698495425487618"/>
    <x v="62"/>
  </r>
  <r>
    <x v="12"/>
    <x v="1"/>
    <x v="1"/>
    <n v="69.37"/>
    <n v="0.75953846153846161"/>
    <n v="13.01"/>
    <n v="0.72277777777777774"/>
    <n v="7.766"/>
    <n v="0.51773333333333338"/>
    <n v="0.62025555555555556"/>
    <n v="492205.30076120328"/>
    <n v="9502.0328332278623"/>
    <n v="0.68792152429103492"/>
    <x v="63"/>
  </r>
  <r>
    <x v="13"/>
    <x v="1"/>
    <x v="1"/>
    <n v="69.900000000000006"/>
    <n v="0.76769230769230778"/>
    <n v="12.6"/>
    <n v="0.7"/>
    <n v="8.2189999999999994"/>
    <n v="0.54793333333333327"/>
    <n v="0.62396666666666656"/>
    <n v="530010.01756097726"/>
    <n v="10231.853620868287"/>
    <n v="0.69909964841313699"/>
    <x v="64"/>
  </r>
  <r>
    <x v="14"/>
    <x v="1"/>
    <x v="1"/>
    <n v="70.95"/>
    <n v="0.78384615384615386"/>
    <n v="13.12"/>
    <n v="0.72888888888888881"/>
    <n v="8.0619999999999994"/>
    <n v="0.53746666666666665"/>
    <n v="0.63317777777777773"/>
    <n v="476227.60772058112"/>
    <n v="9193.5831606289794"/>
    <n v="0.68293668515550299"/>
    <x v="65"/>
  </r>
  <r>
    <x v="15"/>
    <x v="1"/>
    <x v="1"/>
    <n v="67.78"/>
    <n v="0.73507692307692307"/>
    <n v="12.32"/>
    <n v="0.68444444444444441"/>
    <n v="7.6890000000000001"/>
    <n v="0.51260000000000006"/>
    <n v="0.59852222222222218"/>
    <n v="439613.48928747082"/>
    <n v="8486.7468974415224"/>
    <n v="0.67085222664512212"/>
    <x v="66"/>
  </r>
  <r>
    <x v="16"/>
    <x v="1"/>
    <x v="1"/>
    <n v="70.52"/>
    <n v="0.77723076923076917"/>
    <n v="12.71"/>
    <n v="0.70611111111111113"/>
    <n v="7.9489999999999998"/>
    <n v="0.52993333333333337"/>
    <n v="0.61802222222222225"/>
    <n v="536945.12834013277"/>
    <n v="10365.736068342332"/>
    <n v="0.70106337292107412"/>
    <x v="67"/>
  </r>
  <r>
    <x v="0"/>
    <x v="2"/>
    <x v="0"/>
    <n v="71.37"/>
    <n v="0.79030769230769238"/>
    <n v="12.25"/>
    <n v="0.68055555555555558"/>
    <n v="6.6769999999999996"/>
    <n v="0.44513333333333333"/>
    <n v="0.56284444444444448"/>
    <n v="163112.0107517151"/>
    <n v="3286.5607646930303"/>
    <n v="0.52755107712108407"/>
    <x v="68"/>
  </r>
  <r>
    <x v="1"/>
    <x v="2"/>
    <x v="0"/>
    <n v="76.47"/>
    <n v="0.86876923076923074"/>
    <n v="13.94"/>
    <n v="0.77444444444444438"/>
    <n v="10.07"/>
    <n v="0.67133333333333334"/>
    <n v="0.72288888888888891"/>
    <n v="366294.31416924793"/>
    <n v="7380.5019981714267"/>
    <n v="0.64975516380731024"/>
    <x v="69"/>
  </r>
  <r>
    <x v="2"/>
    <x v="2"/>
    <x v="0"/>
    <n v="72.010000000000005"/>
    <n v="0.80015384615384622"/>
    <n v="13.33"/>
    <n v="0.74055555555555552"/>
    <n v="9.6359999999999992"/>
    <n v="0.64239999999999997"/>
    <n v="0.69147777777777775"/>
    <n v="377072.37582222419"/>
    <n v="7597.6702764905131"/>
    <n v="0.65413578001732331"/>
    <x v="70"/>
  </r>
  <r>
    <x v="3"/>
    <x v="2"/>
    <x v="0"/>
    <n v="75.72"/>
    <n v="0.85723076923076924"/>
    <n v="13.68"/>
    <n v="0.76"/>
    <n v="8.6829999999999998"/>
    <n v="0.57886666666666664"/>
    <n v="0.66943333333333332"/>
    <n v="328138.95019784325"/>
    <n v="6611.7056255862026"/>
    <n v="0.63313903335553667"/>
    <x v="71"/>
  </r>
  <r>
    <x v="4"/>
    <x v="2"/>
    <x v="0"/>
    <n v="74.709999999999994"/>
    <n v="0.84169230769230763"/>
    <n v="13.04"/>
    <n v="0.72444444444444445"/>
    <n v="9.3539999999999992"/>
    <n v="0.62359999999999993"/>
    <n v="0.67402222222222219"/>
    <n v="416312.90263991914"/>
    <n v="8388.33170743339"/>
    <n v="0.66909029742391968"/>
    <x v="72"/>
  </r>
  <r>
    <x v="5"/>
    <x v="2"/>
    <x v="0"/>
    <n v="74.180000000000007"/>
    <n v="0.83353846153846167"/>
    <n v="13.16"/>
    <n v="0.73111111111111116"/>
    <n v="9.7059999999999995"/>
    <n v="0.64706666666666668"/>
    <n v="0.68908888888888886"/>
    <n v="420076.63013226783"/>
    <n v="8464.1674417140403"/>
    <n v="0.6704497990063375"/>
    <x v="73"/>
  </r>
  <r>
    <x v="6"/>
    <x v="2"/>
    <x v="0"/>
    <n v="73.19"/>
    <n v="0.81830769230769229"/>
    <n v="13.41"/>
    <n v="0.745"/>
    <n v="8.6489999999999991"/>
    <n v="0.57659999999999989"/>
    <n v="0.66079999999999994"/>
    <n v="281023.17727297224"/>
    <n v="5662.3650468058077"/>
    <n v="0.60972539499167366"/>
    <x v="74"/>
  </r>
  <r>
    <x v="7"/>
    <x v="2"/>
    <x v="0"/>
    <n v="72.88"/>
    <n v="0.81353846153846143"/>
    <n v="13.28"/>
    <n v="0.73777777777777775"/>
    <n v="7.9450000000000003"/>
    <n v="0.52966666666666673"/>
    <n v="0.6337222222222223"/>
    <n v="266250.38081956032"/>
    <n v="5364.7064440773784"/>
    <n v="0.60156838549716651"/>
    <x v="75"/>
  </r>
  <r>
    <x v="8"/>
    <x v="2"/>
    <x v="0"/>
    <n v="76.89"/>
    <n v="0.87523076923076926"/>
    <n v="13.31"/>
    <n v="0.73944444444444446"/>
    <n v="10.61"/>
    <n v="0.70733333333333326"/>
    <n v="0.72338888888888886"/>
    <n v="445606.88845787081"/>
    <n v="8978.5792556492197"/>
    <n v="0.67936208715774327"/>
    <x v="76"/>
  </r>
  <r>
    <x v="9"/>
    <x v="2"/>
    <x v="0"/>
    <n v="72.959999999999994"/>
    <n v="0.81476923076923069"/>
    <n v="12.72"/>
    <n v="0.70666666666666667"/>
    <n v="8.64"/>
    <n v="0.57600000000000007"/>
    <n v="0.64133333333333331"/>
    <n v="283280.37946151156"/>
    <n v="5707.8456470181654"/>
    <n v="0.61093384084271185"/>
    <x v="77"/>
  </r>
  <r>
    <x v="10"/>
    <x v="2"/>
    <x v="0"/>
    <n v="72.81"/>
    <n v="0.81246153846153846"/>
    <n v="13.44"/>
    <n v="0.74666666666666659"/>
    <n v="9.1080000000000005"/>
    <n v="0.60720000000000007"/>
    <n v="0.67693333333333339"/>
    <n v="300797.45983147062"/>
    <n v="6060.7991100437357"/>
    <n v="0.61999718472549759"/>
    <x v="78"/>
  </r>
  <r>
    <x v="11"/>
    <x v="2"/>
    <x v="0"/>
    <n v="73.47"/>
    <n v="0.82261538461538464"/>
    <n v="13.24"/>
    <n v="0.73555555555555552"/>
    <n v="8.5909999999999993"/>
    <n v="0.57273333333333332"/>
    <n v="0.65414444444444442"/>
    <n v="308103.92575146828"/>
    <n v="6208.0178470978899"/>
    <n v="0.6236225222786117"/>
    <x v="79"/>
  </r>
  <r>
    <x v="12"/>
    <x v="2"/>
    <x v="0"/>
    <n v="73.209999999999994"/>
    <n v="0.81861538461538452"/>
    <n v="13.75"/>
    <n v="0.76388888888888884"/>
    <n v="8.7620000000000005"/>
    <n v="0.58413333333333339"/>
    <n v="0.67401111111111112"/>
    <n v="294252.17780834466"/>
    <n v="5928.9175460073475"/>
    <n v="0.61667395863514274"/>
    <x v="80"/>
  </r>
  <r>
    <x v="13"/>
    <x v="2"/>
    <x v="0"/>
    <n v="74.19"/>
    <n v="0.83369230769230762"/>
    <n v="13.41"/>
    <n v="0.745"/>
    <n v="9.0090000000000003"/>
    <n v="0.60060000000000002"/>
    <n v="0.67280000000000006"/>
    <n v="324549.20155973535"/>
    <n v="6539.3754092229565"/>
    <n v="0.63147742031035914"/>
    <x v="81"/>
  </r>
  <r>
    <x v="14"/>
    <x v="2"/>
    <x v="0"/>
    <n v="75.430000000000007"/>
    <n v="0.85276923076923083"/>
    <n v="13.01"/>
    <n v="0.72277777777777774"/>
    <n v="8.8409999999999993"/>
    <n v="0.58939999999999992"/>
    <n v="0.65608888888888883"/>
    <n v="296912.40045404638"/>
    <n v="5982.5186470692397"/>
    <n v="0.61803346021756045"/>
    <x v="82"/>
  </r>
  <r>
    <x v="15"/>
    <x v="2"/>
    <x v="0"/>
    <n v="71.77"/>
    <n v="0.79646153846153844"/>
    <n v="13.1"/>
    <n v="0.72777777777777775"/>
    <n v="8.3949999999999996"/>
    <n v="0.55966666666666665"/>
    <n v="0.6437222222222222"/>
    <n v="270274.24002884625"/>
    <n v="5445.7835992110868"/>
    <n v="0.60383422146786303"/>
    <x v="83"/>
  </r>
  <r>
    <x v="16"/>
    <x v="2"/>
    <x v="0"/>
    <n v="74.98"/>
    <n v="0.84584615384615391"/>
    <n v="13.39"/>
    <n v="0.74388888888888893"/>
    <n v="8.9469999999999992"/>
    <n v="0.59646666666666659"/>
    <n v="0.67017777777777776"/>
    <n v="318440.97860279295"/>
    <n v="6416.3001934876675"/>
    <n v="0.62860736141414364"/>
    <x v="84"/>
  </r>
  <r>
    <x v="0"/>
    <x v="2"/>
    <x v="1"/>
    <n v="68.11"/>
    <n v="0.74015384615384616"/>
    <n v="10.93"/>
    <n v="0.60722222222222222"/>
    <n v="6.1050000000000004"/>
    <n v="0.40700000000000003"/>
    <n v="0.50711111111111107"/>
    <n v="224177.27549825184"/>
    <n v="4516.9710960759985"/>
    <n v="0.57558679969984783"/>
    <x v="85"/>
  </r>
  <r>
    <x v="1"/>
    <x v="2"/>
    <x v="1"/>
    <n v="72.239999999999995"/>
    <n v="0.80369230769230759"/>
    <n v="12.92"/>
    <n v="0.71777777777777774"/>
    <n v="9.1449999999999996"/>
    <n v="0.60966666666666669"/>
    <n v="0.66372222222222221"/>
    <n v="519796.37447180285"/>
    <n v="10473.430877932758"/>
    <n v="0.70262466979022642"/>
    <x v="86"/>
  </r>
  <r>
    <x v="2"/>
    <x v="2"/>
    <x v="1"/>
    <n v="68.64"/>
    <n v="0.74830769230769234"/>
    <n v="12.48"/>
    <n v="0.69333333333333336"/>
    <n v="8.9860000000000007"/>
    <n v="0.59906666666666675"/>
    <n v="0.64620000000000011"/>
    <n v="535626.53080706997"/>
    <n v="10792.394334214587"/>
    <n v="0.70715634173161945"/>
    <x v="87"/>
  </r>
  <r>
    <x v="3"/>
    <x v="2"/>
    <x v="1"/>
    <n v="71.63"/>
    <n v="0.79430769230769227"/>
    <n v="12.53"/>
    <n v="0.69611111111111112"/>
    <n v="8.0640000000000001"/>
    <n v="0.53759999999999997"/>
    <n v="0.61685555555555549"/>
    <n v="463328.88992968207"/>
    <n v="9335.66169513766"/>
    <n v="0.6852532606815539"/>
    <x v="88"/>
  </r>
  <r>
    <x v="4"/>
    <x v="2"/>
    <x v="1"/>
    <n v="70.819999999999993"/>
    <n v="0.78184615384615375"/>
    <n v="12.3"/>
    <n v="0.68333333333333335"/>
    <n v="9.0370000000000008"/>
    <n v="0.60246666666666671"/>
    <n v="0.64290000000000003"/>
    <n v="593737.40787282225"/>
    <n v="11963.276402837442"/>
    <n v="0.72271508206373469"/>
    <x v="89"/>
  </r>
  <r>
    <x v="5"/>
    <x v="2"/>
    <x v="1"/>
    <n v="70.39"/>
    <n v="0.77523076923076928"/>
    <n v="12.38"/>
    <n v="0.68777777777777782"/>
    <n v="9.3580000000000005"/>
    <n v="0.62386666666666668"/>
    <n v="0.65582222222222231"/>
    <n v="599105.16321039631"/>
    <n v="12071.431859971715"/>
    <n v="0.7240745836461524"/>
    <x v="90"/>
  </r>
  <r>
    <x v="6"/>
    <x v="2"/>
    <x v="1"/>
    <n v="69.59"/>
    <n v="0.76292307692307693"/>
    <n v="12.58"/>
    <n v="0.69888888888888889"/>
    <n v="7.8310000000000004"/>
    <n v="0.52206666666666668"/>
    <n v="0.61047777777777779"/>
    <n v="394428.21031201654"/>
    <n v="7947.3747796094403"/>
    <n v="0.66093328792941253"/>
    <x v="91"/>
  </r>
  <r>
    <x v="7"/>
    <x v="2"/>
    <x v="1"/>
    <n v="69.34"/>
    <n v="0.75907692307692309"/>
    <n v="12.4"/>
    <n v="0.68888888888888888"/>
    <n v="7.3419999999999996"/>
    <n v="0.48946666666666666"/>
    <n v="0.5891777777777778"/>
    <n v="372947.30914921989"/>
    <n v="7514.5538817090446"/>
    <n v="0.65247416697214611"/>
    <x v="92"/>
  </r>
  <r>
    <x v="8"/>
    <x v="2"/>
    <x v="1"/>
    <n v="72.569999999999993"/>
    <n v="0.80876923076923068"/>
    <n v="12.56"/>
    <n v="0.69777777777777783"/>
    <n v="10.32"/>
    <n v="0.68800000000000006"/>
    <n v="0.69288888888888889"/>
    <n v="636788.22746027366"/>
    <n v="12830.711816648673"/>
    <n v="0.73328898326031799"/>
    <x v="93"/>
  </r>
  <r>
    <x v="9"/>
    <x v="2"/>
    <x v="1"/>
    <n v="69.400000000000006"/>
    <n v="0.76000000000000012"/>
    <n v="11.73"/>
    <n v="0.65166666666666673"/>
    <n v="7.9779999999999998"/>
    <n v="0.5318666666666666"/>
    <n v="0.59176666666666666"/>
    <n v="397994.0865783912"/>
    <n v="8019.2239890870678"/>
    <n v="0.66229278951183046"/>
    <x v="94"/>
  </r>
  <r>
    <x v="10"/>
    <x v="2"/>
    <x v="1"/>
    <n v="69.28"/>
    <n v="0.75815384615384618"/>
    <n v="12.71"/>
    <n v="0.70611111111111113"/>
    <n v="8.58"/>
    <n v="0.57199999999999995"/>
    <n v="0.63905555555555549"/>
    <n v="423450.72154383687"/>
    <n v="8532.152358328367"/>
    <n v="0.67165824485737546"/>
    <x v="95"/>
  </r>
  <r>
    <x v="11"/>
    <x v="2"/>
    <x v="1"/>
    <n v="69.819999999999993"/>
    <n v="0.76646153846153831"/>
    <n v="12.47"/>
    <n v="0.69277777777777783"/>
    <n v="8.1150000000000002"/>
    <n v="0.54100000000000004"/>
    <n v="0.61688888888888893"/>
    <n v="434170.42759587563"/>
    <n v="8748.1448236122433"/>
    <n v="0.67543463814186955"/>
    <x v="96"/>
  </r>
  <r>
    <x v="12"/>
    <x v="2"/>
    <x v="1"/>
    <n v="69.61"/>
    <n v="0.76323076923076927"/>
    <n v="12.69"/>
    <n v="0.70499999999999996"/>
    <n v="7.8470000000000004"/>
    <n v="0.52313333333333334"/>
    <n v="0.61406666666666665"/>
    <n v="413822.50389151654"/>
    <n v="8338.1524056320068"/>
    <n v="0.66818396303564109"/>
    <x v="97"/>
  </r>
  <r>
    <x v="13"/>
    <x v="2"/>
    <x v="1"/>
    <n v="70.400000000000006"/>
    <n v="0.77538461538461545"/>
    <n v="12.41"/>
    <n v="0.68944444444444442"/>
    <n v="8.1929999999999996"/>
    <n v="0.54620000000000002"/>
    <n v="0.61782222222222227"/>
    <n v="458260.20103853394"/>
    <n v="9233.5321587453946"/>
    <n v="0.6835916476363767"/>
    <x v="98"/>
  </r>
  <r>
    <x v="14"/>
    <x v="2"/>
    <x v="1"/>
    <n v="71.400000000000006"/>
    <n v="0.79076923076923089"/>
    <n v="12.64"/>
    <n v="0.7022222222222223"/>
    <n v="8.0950000000000006"/>
    <n v="0.53966666666666674"/>
    <n v="0.62094444444444452"/>
    <n v="417563.71663071477"/>
    <n v="8413.534487824194"/>
    <n v="0.66954346461805891"/>
    <x v="99"/>
  </r>
  <r>
    <x v="15"/>
    <x v="2"/>
    <x v="1"/>
    <n v="68.430000000000007"/>
    <n v="0.74507692307692319"/>
    <n v="12.08"/>
    <n v="0.6711111111111111"/>
    <n v="7.6970000000000001"/>
    <n v="0.51313333333333333"/>
    <n v="0.59212222222222222"/>
    <n v="378962.4589715373"/>
    <n v="7635.753757234279"/>
    <n v="0.65489105867422226"/>
    <x v="100"/>
  </r>
  <r>
    <x v="16"/>
    <x v="2"/>
    <x v="1"/>
    <n v="71.040000000000006"/>
    <n v="0.78523076923076929"/>
    <n v="12.5"/>
    <n v="0.69444444444444442"/>
    <n v="7.9710000000000001"/>
    <n v="0.53139999999999998"/>
    <n v="0.61292222222222215"/>
    <n v="449635.45179624867"/>
    <n v="9059.7511947662424"/>
    <n v="0.6807215887401612"/>
    <x v="101"/>
  </r>
  <r>
    <x v="0"/>
    <x v="3"/>
    <x v="0"/>
    <n v="69.73"/>
    <n v="0.7650769230769231"/>
    <n v="12.41"/>
    <n v="0.68944444444444442"/>
    <n v="6.8040000000000003"/>
    <n v="0.4536"/>
    <n v="0.57152222222222226"/>
    <n v="167113.58827914653"/>
    <n v="3481.5330891488861"/>
    <n v="0.5362565823481894"/>
    <x v="102"/>
  </r>
  <r>
    <x v="1"/>
    <x v="3"/>
    <x v="0"/>
    <n v="73.61"/>
    <n v="0.82476923076923081"/>
    <n v="13.87"/>
    <n v="0.77055555555555555"/>
    <n v="10.19"/>
    <n v="0.67933333333333334"/>
    <n v="0.72494444444444439"/>
    <n v="367849.44975727162"/>
    <n v="7663.5302032764921"/>
    <n v="0.65543955440682056"/>
    <x v="103"/>
  </r>
  <r>
    <x v="2"/>
    <x v="3"/>
    <x v="0"/>
    <n v="69.010000000000005"/>
    <n v="0.75400000000000011"/>
    <n v="13.43"/>
    <n v="0.74611111111111106"/>
    <n v="9.6649999999999991"/>
    <n v="0.64433333333333331"/>
    <n v="0.69522222222222219"/>
    <n v="374905.40864662256"/>
    <n v="7810.5293468046366"/>
    <n v="0.65830961330303606"/>
    <x v="104"/>
  </r>
  <r>
    <x v="3"/>
    <x v="3"/>
    <x v="0"/>
    <n v="73.45"/>
    <n v="0.82230769230769241"/>
    <n v="13.72"/>
    <n v="0.76222222222222225"/>
    <n v="8.6929999999999996"/>
    <n v="0.57953333333333334"/>
    <n v="0.6708777777777778"/>
    <n v="334177.98843515466"/>
    <n v="6962.0414257323891"/>
    <n v="0.64093820419436354"/>
    <x v="105"/>
  </r>
  <r>
    <x v="4"/>
    <x v="3"/>
    <x v="0"/>
    <n v="71.83"/>
    <n v="0.79738461538461536"/>
    <n v="13.15"/>
    <n v="0.73055555555555562"/>
    <n v="9.3949999999999996"/>
    <n v="0.6263333333333333"/>
    <n v="0.67844444444444441"/>
    <n v="410622.27399440511"/>
    <n v="8554.6307082167732"/>
    <n v="0.67205568485859435"/>
    <x v="106"/>
  </r>
  <r>
    <x v="5"/>
    <x v="3"/>
    <x v="0"/>
    <n v="71.3"/>
    <n v="0.78923076923076918"/>
    <n v="13.23"/>
    <n v="0.73499999999999999"/>
    <n v="9.6780000000000008"/>
    <n v="0.64520000000000011"/>
    <n v="0.69010000000000005"/>
    <n v="410622.27399440511"/>
    <n v="8554.6307082167732"/>
    <n v="0.67205568485859435"/>
    <x v="107"/>
  </r>
  <r>
    <x v="6"/>
    <x v="3"/>
    <x v="0"/>
    <n v="70.73"/>
    <n v="0.78046153846153854"/>
    <n v="13.43"/>
    <n v="0.74611111111111106"/>
    <n v="8.6809999999999992"/>
    <n v="0.57873333333333332"/>
    <n v="0.66242222222222225"/>
    <n v="284198.73101562529"/>
    <n v="5920.8068961588606"/>
    <n v="0.61646717571084275"/>
    <x v="108"/>
  </r>
  <r>
    <x v="7"/>
    <x v="3"/>
    <x v="0"/>
    <n v="69.92"/>
    <n v="0.76800000000000002"/>
    <n v="13.27"/>
    <n v="0.73722222222222222"/>
    <n v="7.9370000000000003"/>
    <n v="0.52913333333333334"/>
    <n v="0.63317777777777784"/>
    <n v="269259.00239127176"/>
    <n v="5609.5625498181616"/>
    <n v="0.60831016621633527"/>
    <x v="109"/>
  </r>
  <r>
    <x v="8"/>
    <x v="3"/>
    <x v="0"/>
    <n v="74.099999999999994"/>
    <n v="0.83230769230769219"/>
    <n v="13.23"/>
    <n v="0.73499999999999999"/>
    <n v="10.5"/>
    <n v="0.7"/>
    <n v="0.71750000000000003"/>
    <n v="421438.45415573934"/>
    <n v="8779.9677949112356"/>
    <n v="0.67598313387446818"/>
    <x v="110"/>
  </r>
  <r>
    <x v="9"/>
    <x v="3"/>
    <x v="0"/>
    <n v="70.73"/>
    <n v="0.78046153846153854"/>
    <n v="12.49"/>
    <n v="0.69388888888888889"/>
    <n v="8.5909999999999993"/>
    <n v="0.57273333333333332"/>
    <n v="0.63331111111111116"/>
    <n v="289650.1312114803"/>
    <n v="6034.3777335725063"/>
    <n v="0.61933723460705792"/>
    <x v="111"/>
  </r>
  <r>
    <x v="10"/>
    <x v="3"/>
    <x v="0"/>
    <n v="71.069999999999993"/>
    <n v="0.78569230769230758"/>
    <n v="13.42"/>
    <n v="0.74555555555555553"/>
    <n v="9.2319999999999993"/>
    <n v="0.61546666666666661"/>
    <n v="0.68051111111111107"/>
    <n v="307868.80995886103"/>
    <n v="6413.9335408096049"/>
    <n v="0.62855163422122329"/>
    <x v="112"/>
  </r>
  <r>
    <x v="11"/>
    <x v="3"/>
    <x v="0"/>
    <n v="70.89"/>
    <n v="0.78292307692307694"/>
    <n v="13.2"/>
    <n v="0.73333333333333328"/>
    <n v="8.5990000000000002"/>
    <n v="0.5732666666666667"/>
    <n v="0.65329999999999999"/>
    <n v="303892.41797796765"/>
    <n v="6331.0920412076593"/>
    <n v="0.62658790971328637"/>
    <x v="113"/>
  </r>
  <r>
    <x v="12"/>
    <x v="3"/>
    <x v="0"/>
    <n v="70.7"/>
    <n v="0.78"/>
    <n v="13.71"/>
    <n v="0.76166666666666671"/>
    <n v="8.8130000000000006"/>
    <n v="0.58753333333333335"/>
    <n v="0.67460000000000009"/>
    <n v="295797.10125286697"/>
    <n v="6162.4396094347285"/>
    <n v="0.62250940496603269"/>
    <x v="114"/>
  </r>
  <r>
    <x v="13"/>
    <x v="3"/>
    <x v="0"/>
    <n v="71.95"/>
    <n v="0.7992307692307693"/>
    <n v="13.49"/>
    <n v="0.74944444444444447"/>
    <n v="9.0079999999999991"/>
    <n v="0.60053333333333325"/>
    <n v="0.67498888888888886"/>
    <n v="335853.06257293886"/>
    <n v="6996.9388036028931"/>
    <n v="0.64169348285126238"/>
    <x v="115"/>
  </r>
  <r>
    <x v="14"/>
    <x v="3"/>
    <x v="0"/>
    <n v="73.099999999999994"/>
    <n v="0.81692307692307686"/>
    <n v="13.03"/>
    <n v="0.7238888888888888"/>
    <n v="8.9060000000000006"/>
    <n v="0.59373333333333334"/>
    <n v="0.65881111111111101"/>
    <n v="310652.13542566996"/>
    <n v="6471.9194880347904"/>
    <n v="0.62991113580364122"/>
    <x v="116"/>
  </r>
  <r>
    <x v="15"/>
    <x v="3"/>
    <x v="0"/>
    <n v="69.790000000000006"/>
    <n v="0.76600000000000013"/>
    <n v="13.2"/>
    <n v="0.73333333333333328"/>
    <n v="8.4429999999999996"/>
    <n v="0.56286666666666663"/>
    <n v="0.6480999999999999"/>
    <n v="278014.63342998084"/>
    <n v="5791.9715297912671"/>
    <n v="0.61314394962048768"/>
    <x v="117"/>
  </r>
  <r>
    <x v="16"/>
    <x v="3"/>
    <x v="0"/>
    <n v="72.739999999999995"/>
    <n v="0.81138461538461526"/>
    <n v="13.46"/>
    <n v="0.74777777777777787"/>
    <n v="8.9990000000000006"/>
    <n v="0.59993333333333332"/>
    <n v="0.67385555555555565"/>
    <n v="319473.31542805868"/>
    <n v="6655.6940714178891"/>
    <n v="0.63414069628227432"/>
    <x v="118"/>
  </r>
  <r>
    <x v="0"/>
    <x v="3"/>
    <x v="1"/>
    <n v="65.760000000000005"/>
    <n v="0.70400000000000007"/>
    <n v="10.99"/>
    <n v="0.61055555555555552"/>
    <n v="6.242"/>
    <n v="0.41613333333333336"/>
    <n v="0.51334444444444438"/>
    <n v="229676.9486594153"/>
    <n v="4784.9364304044857"/>
    <n v="0.58429230492695328"/>
    <x v="119"/>
  </r>
  <r>
    <x v="1"/>
    <x v="3"/>
    <x v="1"/>
    <n v="68.86"/>
    <n v="0.75169230769230766"/>
    <n v="13.06"/>
    <n v="0.72555555555555562"/>
    <n v="9.1999999999999993"/>
    <n v="0.61333333333333329"/>
    <n v="0.66944444444444451"/>
    <n v="521481.47461614135"/>
    <n v="10864.197387836279"/>
    <n v="0.70815800465835732"/>
    <x v="120"/>
  </r>
  <r>
    <x v="2"/>
    <x v="3"/>
    <x v="1"/>
    <n v="65.19"/>
    <n v="0.69523076923076921"/>
    <n v="12.51"/>
    <n v="0.69499999999999995"/>
    <n v="8.9779999999999998"/>
    <n v="0.59853333333333336"/>
    <n v="0.64676666666666671"/>
    <n v="532016.09920251672"/>
    <n v="11083.668733385764"/>
    <n v="0.71117911928595245"/>
    <x v="121"/>
  </r>
  <r>
    <x v="3"/>
    <x v="3"/>
    <x v="1"/>
    <n v="68.739999999999995"/>
    <n v="0.74984615384615372"/>
    <n v="12.81"/>
    <n v="0.71166666666666667"/>
    <n v="8.0619999999999994"/>
    <n v="0.53746666666666665"/>
    <n v="0.62456666666666671"/>
    <n v="472328.04300293711"/>
    <n v="9840.1675625611897"/>
    <n v="0.69320348725176073"/>
    <x v="122"/>
  </r>
  <r>
    <x v="4"/>
    <x v="3"/>
    <x v="1"/>
    <n v="67.45"/>
    <n v="0.73000000000000009"/>
    <n v="12.44"/>
    <n v="0.69111111111111112"/>
    <n v="9.077"/>
    <n v="0.6051333333333333"/>
    <n v="0.64812222222222227"/>
    <n v="584451.47076376237"/>
    <n v="12176.072307578383"/>
    <n v="0.72537835803564987"/>
    <x v="123"/>
  </r>
  <r>
    <x v="5"/>
    <x v="3"/>
    <x v="1"/>
    <n v="67.03"/>
    <n v="0.72353846153846157"/>
    <n v="12.37"/>
    <n v="0.68722222222222218"/>
    <n v="9.3409999999999993"/>
    <n v="0.62273333333333325"/>
    <n v="0.65497777777777766"/>
    <n v="584451.47076376237"/>
    <n v="12176.072307578383"/>
    <n v="0.72537835803564987"/>
    <x v="124"/>
  </r>
  <r>
    <x v="6"/>
    <x v="3"/>
    <x v="1"/>
    <n v="66.569999999999993"/>
    <n v="0.71646153846153837"/>
    <n v="12.82"/>
    <n v="0.7122222222222222"/>
    <n v="7.8280000000000003"/>
    <n v="0.5218666666666667"/>
    <n v="0.61704444444444451"/>
    <n v="398885.23763488262"/>
    <n v="8310.1091173933874"/>
    <n v="0.66767506864858139"/>
    <x v="125"/>
  </r>
  <r>
    <x v="7"/>
    <x v="3"/>
    <x v="1"/>
    <n v="65.92"/>
    <n v="0.70646153846153847"/>
    <n v="12.51"/>
    <n v="0.69499999999999995"/>
    <n v="7.2709999999999999"/>
    <n v="0.48473333333333335"/>
    <n v="0.58986666666666665"/>
    <n v="377161.60291272192"/>
    <n v="7857.5333940150404"/>
    <n v="0.65921594769131464"/>
    <x v="126"/>
  </r>
  <r>
    <x v="8"/>
    <x v="3"/>
    <x v="1"/>
    <n v="69.260000000000005"/>
    <n v="0.75784615384615395"/>
    <n v="12.48"/>
    <n v="0.69333333333333336"/>
    <n v="10.210000000000001"/>
    <n v="0.68066666666666675"/>
    <n v="0.68700000000000006"/>
    <n v="601047.37028720812"/>
    <n v="12521.820214316836"/>
    <n v="0.72960791851428319"/>
    <x v="127"/>
  </r>
  <r>
    <x v="9"/>
    <x v="3"/>
    <x v="1"/>
    <n v="66.569999999999993"/>
    <n v="0.71646153846153837"/>
    <n v="11.49"/>
    <n v="0.63833333333333331"/>
    <n v="7.9189999999999996"/>
    <n v="0.52793333333333325"/>
    <n v="0.58313333333333328"/>
    <n v="406943.25395199796"/>
    <n v="8477.9844573332903"/>
    <n v="0.67069618327617653"/>
    <x v="128"/>
  </r>
  <r>
    <x v="10"/>
    <x v="3"/>
    <x v="1"/>
    <n v="66.84"/>
    <n v="0.72061538461538466"/>
    <n v="12.84"/>
    <n v="0.71333333333333337"/>
    <n v="8.7319999999999993"/>
    <n v="0.58213333333333328"/>
    <n v="0.64773333333333327"/>
    <n v="433405.48750299914"/>
    <n v="9029.2809896458148"/>
    <n v="0.6802126943531015"/>
    <x v="129"/>
  </r>
  <r>
    <x v="11"/>
    <x v="3"/>
    <x v="1"/>
    <n v="66.7"/>
    <n v="0.71846153846153848"/>
    <n v="12.55"/>
    <n v="0.6972222222222223"/>
    <n v="8.1440000000000001"/>
    <n v="0.54293333333333338"/>
    <n v="0.62007777777777784"/>
    <n v="427380.08689675538"/>
    <n v="8903.7518103490711"/>
    <n v="0.67809791411378473"/>
    <x v="130"/>
  </r>
  <r>
    <x v="12"/>
    <x v="3"/>
    <x v="1"/>
    <n v="66.55"/>
    <n v="0.71615384615384614"/>
    <n v="12.65"/>
    <n v="0.70277777777777783"/>
    <n v="7.9359999999999999"/>
    <n v="0.52906666666666669"/>
    <n v="0.61592222222222226"/>
    <n v="415995.21198460518"/>
    <n v="8666.5669163459406"/>
    <n v="0.67401940936653126"/>
    <x v="131"/>
  </r>
  <r>
    <x v="13"/>
    <x v="3"/>
    <x v="1"/>
    <n v="67.55"/>
    <n v="0.73153846153846147"/>
    <n v="12.48"/>
    <n v="0.69333333333333336"/>
    <n v="8.1780000000000008"/>
    <n v="0.54520000000000002"/>
    <n v="0.61926666666666663"/>
    <n v="474221.1388425015"/>
    <n v="9879.6070592187807"/>
    <n v="0.69380771017727993"/>
    <x v="132"/>
  </r>
  <r>
    <x v="14"/>
    <x v="3"/>
    <x v="1"/>
    <n v="68.459999999999994"/>
    <n v="0.74553846153846148"/>
    <n v="12.43"/>
    <n v="0.69055555555555559"/>
    <n v="8.1379999999999999"/>
    <n v="0.54253333333333331"/>
    <n v="0.61654444444444445"/>
    <n v="437761.2850675995"/>
    <n v="9120.0267722416556"/>
    <n v="0.68172325166689907"/>
    <x v="133"/>
  </r>
  <r>
    <x v="15"/>
    <x v="3"/>
    <x v="1"/>
    <n v="65.819999999999993"/>
    <n v="0.70492307692307676"/>
    <n v="12.09"/>
    <n v="0.67166666666666663"/>
    <n v="7.7130000000000001"/>
    <n v="0.51419999999999999"/>
    <n v="0.59293333333333331"/>
    <n v="389815.57807155937"/>
    <n v="8121.1578764908199"/>
    <n v="0.66420078682684691"/>
    <x v="134"/>
  </r>
  <r>
    <x v="16"/>
    <x v="3"/>
    <x v="1"/>
    <n v="68.180000000000007"/>
    <n v="0.74123076923076936"/>
    <n v="12.56"/>
    <n v="0.69777777777777783"/>
    <n v="8.0020000000000007"/>
    <n v="0.53346666666666676"/>
    <n v="0.61562222222222229"/>
    <n v="450642.23335762566"/>
    <n v="9388.3798616172007"/>
    <n v="0.68610386787691213"/>
    <x v="135"/>
  </r>
  <r>
    <x v="0"/>
    <x v="4"/>
    <x v="0"/>
    <n v="73.17"/>
    <n v="0.81800000000000006"/>
    <n v="12.56"/>
    <n v="0.69777777777777783"/>
    <n v="6.9290000000000003"/>
    <n v="0.46193333333333336"/>
    <n v="0.57985555555555557"/>
    <n v="172766.36705170668"/>
    <n v="3171.1888225349981"/>
    <n v="0.52215308284681639"/>
    <x v="136"/>
  </r>
  <r>
    <x v="1"/>
    <x v="4"/>
    <x v="0"/>
    <n v="76.099999999999994"/>
    <n v="0.86307692307692296"/>
    <n v="13.8"/>
    <n v="0.76666666666666672"/>
    <n v="10.31"/>
    <n v="0.68733333333333335"/>
    <n v="0.72700000000000009"/>
    <n v="369052.97680347349"/>
    <n v="6774.1001615909236"/>
    <n v="0.63680438296405473"/>
    <x v="137"/>
  </r>
  <r>
    <x v="2"/>
    <x v="4"/>
    <x v="0"/>
    <n v="71.040000000000006"/>
    <n v="0.78523076923076929"/>
    <n v="13.53"/>
    <n v="0.75166666666666659"/>
    <n v="9.6940000000000008"/>
    <n v="0.64626666666666677"/>
    <n v="0.69896666666666674"/>
    <n v="372389.44518127316"/>
    <n v="6835.3422390101541"/>
    <n v="0.63816388454647233"/>
    <x v="138"/>
  </r>
  <r>
    <x v="3"/>
    <x v="4"/>
    <x v="0"/>
    <n v="76.53"/>
    <n v="0.86969230769230776"/>
    <n v="13.76"/>
    <n v="0.76444444444444448"/>
    <n v="8.7040000000000006"/>
    <n v="0.58026666666666671"/>
    <n v="0.6723555555555556"/>
    <n v="340678.83556993428"/>
    <n v="6253.2825912249318"/>
    <n v="0.62471992445367364"/>
    <x v="139"/>
  </r>
  <r>
    <x v="4"/>
    <x v="4"/>
    <x v="0"/>
    <n v="74.19"/>
    <n v="0.83369230769230762"/>
    <n v="13.26"/>
    <n v="0.73666666666666669"/>
    <n v="9.4359999999999999"/>
    <n v="0.62906666666666666"/>
    <n v="0.68286666666666673"/>
    <n v="403808.27654321614"/>
    <n v="7412.0461920560965"/>
    <n v="0.65039939878823294"/>
    <x v="140"/>
  </r>
  <r>
    <x v="5"/>
    <x v="4"/>
    <x v="0"/>
    <n v="73.62"/>
    <n v="0.82492307692307698"/>
    <n v="13.29"/>
    <n v="0.73833333333333329"/>
    <n v="9.65"/>
    <n v="0.64333333333333331"/>
    <n v="0.6908333333333333"/>
    <n v="400190.30733701412"/>
    <n v="7345.6370656573818"/>
    <n v="0.64903989720581501"/>
    <x v="141"/>
  </r>
  <r>
    <x v="6"/>
    <x v="4"/>
    <x v="0"/>
    <n v="73.42"/>
    <n v="0.82184615384615389"/>
    <n v="13.46"/>
    <n v="0.74777777777777787"/>
    <n v="8.7129999999999992"/>
    <n v="0.58086666666666664"/>
    <n v="0.66432222222222226"/>
    <n v="288282.29825008428"/>
    <n v="5291.5252982761431"/>
    <n v="0.59949361731325357"/>
    <x v="142"/>
  </r>
  <r>
    <x v="7"/>
    <x v="4"/>
    <x v="0"/>
    <n v="72.06"/>
    <n v="0.80092307692307696"/>
    <n v="13.27"/>
    <n v="0.73722222222222222"/>
    <n v="7.9279999999999999"/>
    <n v="0.5285333333333333"/>
    <n v="0.63287777777777776"/>
    <n v="273127.90509825695"/>
    <n v="5013.360959953322"/>
    <n v="0.59133660781874653"/>
    <x v="143"/>
  </r>
  <r>
    <x v="8"/>
    <x v="4"/>
    <x v="0"/>
    <n v="76.709999999999994"/>
    <n v="0.8724615384615384"/>
    <n v="13.15"/>
    <n v="0.73055555555555562"/>
    <n v="10.39"/>
    <n v="0.69266666666666665"/>
    <n v="0.71161111111111119"/>
    <n v="397796.35453325737"/>
    <n v="7301.6952006838728"/>
    <n v="0.64813356281753665"/>
    <x v="144"/>
  </r>
  <r>
    <x v="9"/>
    <x v="4"/>
    <x v="0"/>
    <n v="73.66"/>
    <n v="0.82553846153846144"/>
    <n v="12.27"/>
    <n v="0.68166666666666664"/>
    <n v="8.5440000000000005"/>
    <n v="0.5696"/>
    <n v="0.62563333333333326"/>
    <n v="296764.88797045173"/>
    <n v="5447.2262843328144"/>
    <n v="0.60387423352326663"/>
    <x v="145"/>
  </r>
  <r>
    <x v="10"/>
    <x v="4"/>
    <x v="0"/>
    <n v="74.510000000000005"/>
    <n v="0.83861538461538465"/>
    <n v="13.41"/>
    <n v="0.745"/>
    <n v="9.3550000000000004"/>
    <n v="0.6236666666666667"/>
    <n v="0.68433333333333335"/>
    <n v="315115.80377846456"/>
    <n v="5784.0639460070588"/>
    <n v="0.61293757740605204"/>
    <x v="146"/>
  </r>
  <r>
    <x v="11"/>
    <x v="4"/>
    <x v="0"/>
    <n v="73.48"/>
    <n v="0.82276923076923081"/>
    <n v="13.16"/>
    <n v="0.73111111111111116"/>
    <n v="8.6059999999999999"/>
    <n v="0.57373333333333332"/>
    <n v="0.65242222222222224"/>
    <n v="300047.32202763093"/>
    <n v="5507.4765423573963"/>
    <n v="0.60553584656844395"/>
    <x v="147"/>
  </r>
  <r>
    <x v="12"/>
    <x v="4"/>
    <x v="0"/>
    <n v="73.34"/>
    <n v="0.82061538461538464"/>
    <n v="13.67"/>
    <n v="0.75944444444444448"/>
    <n v="8.8650000000000002"/>
    <n v="0.59099999999999997"/>
    <n v="0.67522222222222217"/>
    <n v="297954.32481009729"/>
    <n v="5469.0588254423146"/>
    <n v="0.60447845644878562"/>
    <x v="148"/>
  </r>
  <r>
    <x v="13"/>
    <x v="4"/>
    <x v="0"/>
    <n v="74.959999999999994"/>
    <n v="0.84553846153846146"/>
    <n v="13.56"/>
    <n v="0.75333333333333341"/>
    <n v="9.0069999999999997"/>
    <n v="0.60046666666666659"/>
    <n v="0.67690000000000006"/>
    <n v="347213.61728522449"/>
    <n v="6373.2308605951639"/>
    <n v="0.62758998334988902"/>
    <x v="149"/>
  </r>
  <r>
    <x v="14"/>
    <x v="4"/>
    <x v="0"/>
    <n v="76.09"/>
    <n v="0.86292307692307701"/>
    <n v="13.05"/>
    <n v="0.72500000000000009"/>
    <n v="8.9719999999999995"/>
    <n v="0.59813333333333329"/>
    <n v="0.66156666666666664"/>
    <n v="325688.10891868989"/>
    <n v="5978.1224104017974"/>
    <n v="0.61792241654158464"/>
    <x v="150"/>
  </r>
  <r>
    <x v="15"/>
    <x v="4"/>
    <x v="0"/>
    <n v="72.91"/>
    <n v="0.81399999999999995"/>
    <n v="13.29"/>
    <n v="0.73833333333333329"/>
    <n v="8.49"/>
    <n v="0.56600000000000006"/>
    <n v="0.65216666666666667"/>
    <n v="286557.78317933809"/>
    <n v="5259.8712037323439"/>
    <n v="0.59858728292497532"/>
    <x v="151"/>
  </r>
  <r>
    <x v="16"/>
    <x v="4"/>
    <x v="0"/>
    <n v="75.81"/>
    <n v="0.85861538461538467"/>
    <n v="13.53"/>
    <n v="0.75166666666666659"/>
    <n v="9.0519999999999996"/>
    <n v="0.6034666666666666"/>
    <n v="0.67756666666666665"/>
    <n v="320839.24468254397"/>
    <n v="5889.1197628954478"/>
    <n v="0.61565658057088812"/>
    <x v="152"/>
  </r>
  <r>
    <x v="0"/>
    <x v="4"/>
    <x v="1"/>
    <n v="69.41"/>
    <n v="0.76015384615384607"/>
    <n v="11.05"/>
    <n v="0.61388888888888893"/>
    <n v="6.3780000000000001"/>
    <n v="0.42520000000000002"/>
    <n v="0.51954444444444448"/>
    <n v="315115.80377846456"/>
    <n v="5784.0639460070588"/>
    <n v="0.61293757740605204"/>
    <x v="153"/>
  </r>
  <r>
    <x v="1"/>
    <x v="4"/>
    <x v="1"/>
    <n v="71.760000000000005"/>
    <n v="0.79630769230769238"/>
    <n v="13.2"/>
    <n v="0.73333333333333328"/>
    <n v="9.2550000000000008"/>
    <n v="0.6170000000000001"/>
    <n v="0.67516666666666669"/>
    <n v="712614.21589675802"/>
    <n v="13080.290306475001"/>
    <n v="0.73619905421193688"/>
    <x v="154"/>
  </r>
  <r>
    <x v="2"/>
    <x v="4"/>
    <x v="1"/>
    <n v="67.69"/>
    <n v="0.73369230769230764"/>
    <n v="12.53"/>
    <n v="0.69611111111111112"/>
    <n v="8.9689999999999994"/>
    <n v="0.59793333333333332"/>
    <n v="0.64702222222222217"/>
    <n v="719056.69149336219"/>
    <n v="13198.544263828235"/>
    <n v="0.73755855579435481"/>
    <x v="155"/>
  </r>
  <r>
    <x v="3"/>
    <x v="4"/>
    <x v="1"/>
    <n v="72.11"/>
    <n v="0.8016923076923077"/>
    <n v="13.08"/>
    <n v="0.72666666666666668"/>
    <n v="8.0589999999999993"/>
    <n v="0.53726666666666667"/>
    <n v="0.63196666666666668"/>
    <n v="653237.12973513652"/>
    <n v="11990.402528177983"/>
    <n v="0.72305720558189801"/>
    <x v="156"/>
  </r>
  <r>
    <x v="4"/>
    <x v="4"/>
    <x v="1"/>
    <n v="70.23"/>
    <n v="0.77276923076923087"/>
    <n v="12.58"/>
    <n v="0.69888888888888889"/>
    <n v="9.1170000000000009"/>
    <n v="0.60780000000000001"/>
    <n v="0.65334444444444451"/>
    <n v="784416.55727931857"/>
    <n v="14398.248114524939"/>
    <n v="0.7507004044243939"/>
    <x v="157"/>
  </r>
  <r>
    <x v="5"/>
    <x v="4"/>
    <x v="1"/>
    <n v="69.78"/>
    <n v="0.76584615384615384"/>
    <n v="12.36"/>
    <n v="0.68666666666666665"/>
    <n v="9.3249999999999993"/>
    <n v="0.62166666666666659"/>
    <n v="0.65416666666666656"/>
    <n v="777388.48204181704"/>
    <n v="14269.245265084748"/>
    <n v="0.74934090284197596"/>
    <x v="158"/>
  </r>
  <r>
    <x v="6"/>
    <x v="4"/>
    <x v="1"/>
    <n v="69.61"/>
    <n v="0.76323076923076927"/>
    <n v="13.05"/>
    <n v="0.72500000000000009"/>
    <n v="7.8250000000000002"/>
    <n v="0.52166666666666672"/>
    <n v="0.62333333333333341"/>
    <n v="546175.41787673405"/>
    <n v="10025.246289954737"/>
    <n v="0.69601822966492055"/>
    <x v="159"/>
  </r>
  <r>
    <x v="7"/>
    <x v="4"/>
    <x v="1"/>
    <n v="68.510000000000005"/>
    <n v="0.74630769230769234"/>
    <n v="12.62"/>
    <n v="0.70111111111111102"/>
    <n v="7.2009999999999996"/>
    <n v="0.48006666666666664"/>
    <n v="0.59058888888888883"/>
    <n v="515398.4043706517"/>
    <n v="9460.3231345567492"/>
    <n v="0.68725699724489442"/>
    <x v="160"/>
  </r>
  <r>
    <x v="8"/>
    <x v="4"/>
    <x v="1"/>
    <n v="72.25"/>
    <n v="0.80384615384615388"/>
    <n v="12.4"/>
    <n v="0.68888888888888888"/>
    <n v="10.1"/>
    <n v="0.67333333333333334"/>
    <n v="0.68111111111111111"/>
    <n v="771965.76432228892"/>
    <n v="14169.709330438491"/>
    <n v="0.74828351272231797"/>
    <x v="161"/>
  </r>
  <r>
    <x v="9"/>
    <x v="4"/>
    <x v="1"/>
    <n v="69.8"/>
    <n v="0.76615384615384607"/>
    <n v="11.27"/>
    <n v="0.62611111111111106"/>
    <n v="7.86"/>
    <n v="0.52400000000000002"/>
    <n v="0.57505555555555554"/>
    <n v="563935.67992506607"/>
    <n v="10351.24228937346"/>
    <n v="0.70085201306907319"/>
    <x v="162"/>
  </r>
  <r>
    <x v="10"/>
    <x v="4"/>
    <x v="1"/>
    <n v="70.489999999999995"/>
    <n v="0.77676923076923066"/>
    <n v="12.97"/>
    <n v="0.72055555555555562"/>
    <n v="8.8829999999999991"/>
    <n v="0.59219999999999995"/>
    <n v="0.65637777777777773"/>
    <n v="601207.54175851424"/>
    <n v="11035.38072243969"/>
    <n v="0.7105195798773779"/>
    <x v="163"/>
  </r>
  <r>
    <x v="11"/>
    <x v="4"/>
    <x v="1"/>
    <n v="69.66"/>
    <n v="0.7639999999999999"/>
    <n v="12.63"/>
    <n v="0.70166666666666666"/>
    <n v="8.1720000000000006"/>
    <n v="0.54480000000000006"/>
    <n v="0.62323333333333331"/>
    <n v="570173.21595739096"/>
    <n v="10465.734507294255"/>
    <n v="0.70251362611425017"/>
    <x v="164"/>
  </r>
  <r>
    <x v="12"/>
    <x v="4"/>
    <x v="1"/>
    <n v="69.55"/>
    <n v="0.76230769230769224"/>
    <n v="12.61"/>
    <n v="0.70055555555555549"/>
    <n v="8.0250000000000004"/>
    <n v="0.53500000000000003"/>
    <n v="0.61777777777777776"/>
    <n v="566195.94015153951"/>
    <n v="10392.730178993017"/>
    <n v="0.70145623599459184"/>
    <x v="165"/>
  </r>
  <r>
    <x v="13"/>
    <x v="4"/>
    <x v="1"/>
    <n v="70.849999999999994"/>
    <n v="0.78230769230769226"/>
    <n v="12.54"/>
    <n v="0.69666666666666666"/>
    <n v="8.1630000000000003"/>
    <n v="0.54420000000000002"/>
    <n v="0.62043333333333339"/>
    <n v="667100.16183392587"/>
    <n v="12244.863469785718"/>
    <n v="0.72622937594087256"/>
    <x v="166"/>
  </r>
  <r>
    <x v="14"/>
    <x v="4"/>
    <x v="1"/>
    <n v="71.75"/>
    <n v="0.7961538461538461"/>
    <n v="12.24"/>
    <n v="0.68"/>
    <n v="8.1809999999999992"/>
    <n v="0.5454"/>
    <n v="0.61270000000000002"/>
    <n v="622622.37932408985"/>
    <n v="11428.457770265966"/>
    <n v="0.71580653047566922"/>
    <x v="167"/>
  </r>
  <r>
    <x v="15"/>
    <x v="4"/>
    <x v="1"/>
    <n v="69.2"/>
    <n v="0.75692307692307692"/>
    <n v="12.1"/>
    <n v="0.67222222222222217"/>
    <n v="7.73"/>
    <n v="0.51533333333333331"/>
    <n v="0.59377777777777774"/>
    <n v="542908.17689413845"/>
    <n v="9965.2749062800758"/>
    <n v="0.69511189527664219"/>
    <x v="168"/>
  </r>
  <r>
    <x v="16"/>
    <x v="4"/>
    <x v="1"/>
    <n v="71.53"/>
    <n v="0.79276923076923078"/>
    <n v="12.62"/>
    <n v="0.70111111111111102"/>
    <n v="8.0329999999999995"/>
    <n v="0.53553333333333331"/>
    <n v="0.61832222222222222"/>
    <n v="612739.69357066171"/>
    <n v="11247.057517816846"/>
    <n v="0.71338963877359307"/>
    <x v="1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85D56C-BCB6-4C54-930A-35109A7D42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4:G7" firstHeaderRow="1" firstDataRow="1" firstDataCol="1"/>
  <pivotFields count="14">
    <pivotField showAll="0"/>
    <pivotField showAll="0">
      <items count="6">
        <item x="0"/>
        <item x="1"/>
        <item x="2"/>
        <item x="3"/>
        <item x="4"/>
        <item t="default"/>
      </items>
    </pivotField>
    <pivotField axis="axisRow" showAll="0">
      <items count="3">
        <item x="0"/>
        <item x="1"/>
        <item t="default"/>
      </items>
    </pivotField>
    <pivotField showAll="0"/>
    <pivotField numFmtId="165" showAll="0"/>
    <pivotField numFmtId="4" showAll="0"/>
    <pivotField numFmtId="4" showAll="0"/>
    <pivotField numFmtId="4" showAll="0"/>
    <pivotField numFmtId="4" showAll="0"/>
    <pivotField numFmtId="165" showAll="0"/>
    <pivotField numFmtId="168" showAll="0"/>
    <pivotField numFmtId="164" showAll="0"/>
    <pivotField numFmtId="165" showAll="0"/>
    <pivotField dataField="1" numFmtId="167" showAll="0"/>
  </pivotFields>
  <rowFields count="1">
    <field x="2"/>
  </rowFields>
  <rowItems count="3">
    <i>
      <x/>
    </i>
    <i>
      <x v="1"/>
    </i>
    <i t="grand">
      <x/>
    </i>
  </rowItems>
  <colItems count="1">
    <i/>
  </colItems>
  <dataFields count="1">
    <dataField name="Average of HDI" fld="13" subtotal="average" baseField="2" baseItem="0" numFmtId="165"/>
  </dataFields>
  <formats count="6">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axis="axisValues" fieldPosition="0"/>
    </format>
  </formats>
  <chartFormats count="3">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A601DE-5B67-413F-A10C-551D511A9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23:I30" firstHeaderRow="1" firstDataRow="2" firstDataCol="1"/>
  <pivotFields count="14">
    <pivotField showAll="0">
      <items count="18">
        <item x="0"/>
        <item x="1"/>
        <item x="8"/>
        <item x="2"/>
        <item x="3"/>
        <item x="4"/>
        <item x="5"/>
        <item x="6"/>
        <item x="7"/>
        <item x="9"/>
        <item x="10"/>
        <item x="11"/>
        <item x="12"/>
        <item x="13"/>
        <item x="14"/>
        <item x="15"/>
        <item x="16"/>
        <item t="default"/>
      </items>
    </pivotField>
    <pivotField axis="axisRow" showAll="0">
      <items count="6">
        <item x="0"/>
        <item x="1"/>
        <item x="2"/>
        <item x="3"/>
        <item x="4"/>
        <item t="default"/>
      </items>
    </pivotField>
    <pivotField axis="axisCol" showAll="0">
      <items count="3">
        <item x="0"/>
        <item x="1"/>
        <item t="default"/>
      </items>
    </pivotField>
    <pivotField showAll="0"/>
    <pivotField numFmtId="165" showAll="0"/>
    <pivotField numFmtId="4" showAll="0"/>
    <pivotField numFmtId="4" showAll="0"/>
    <pivotField numFmtId="4" showAll="0"/>
    <pivotField numFmtId="4" showAll="0"/>
    <pivotField numFmtId="165" showAll="0"/>
    <pivotField numFmtId="168" showAll="0"/>
    <pivotField numFmtId="164" showAll="0"/>
    <pivotField numFmtId="165" showAll="0"/>
    <pivotField dataField="1" numFmtId="167" showAll="0"/>
  </pivotFields>
  <rowFields count="1">
    <field x="1"/>
  </rowFields>
  <rowItems count="6">
    <i>
      <x/>
    </i>
    <i>
      <x v="1"/>
    </i>
    <i>
      <x v="2"/>
    </i>
    <i>
      <x v="3"/>
    </i>
    <i>
      <x v="4"/>
    </i>
    <i t="grand">
      <x/>
    </i>
  </rowItems>
  <colFields count="1">
    <field x="2"/>
  </colFields>
  <colItems count="3">
    <i>
      <x/>
    </i>
    <i>
      <x v="1"/>
    </i>
    <i t="grand">
      <x/>
    </i>
  </colItems>
  <dataFields count="1">
    <dataField name="Average of HDI" fld="13" subtotal="average" baseField="1" baseItem="1" numFmtId="165"/>
  </dataFields>
  <formats count="10">
    <format dxfId="56">
      <pivotArea type="all" dataOnly="0" outline="0" fieldPosition="0"/>
    </format>
    <format dxfId="55">
      <pivotArea outline="0" collapsedLevelsAreSubtotals="1" fieldPosition="0"/>
    </format>
    <format dxfId="54">
      <pivotArea type="origin" dataOnly="0" labelOnly="1" outline="0" fieldPosition="0"/>
    </format>
    <format dxfId="53">
      <pivotArea field="2" type="button" dataOnly="0" labelOnly="1" outline="0" axis="axisCol" fieldPosition="0"/>
    </format>
    <format dxfId="52">
      <pivotArea type="topRight" dataOnly="0" labelOnly="1" outline="0"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fieldPosition="0">
        <references count="1">
          <reference field="2" count="0"/>
        </references>
      </pivotArea>
    </format>
    <format dxfId="47">
      <pivotArea dataOnly="0" labelOnly="1" grandCol="1" outline="0" fieldPosition="0"/>
    </format>
  </formats>
  <chartFormats count="2">
    <chartFormat chart="17" format="4" series="1">
      <pivotArea type="data" outline="0" fieldPosition="0">
        <references count="2">
          <reference field="4294967294" count="1" selected="0">
            <x v="0"/>
          </reference>
          <reference field="2" count="1" selected="0">
            <x v="0"/>
          </reference>
        </references>
      </pivotArea>
    </chartFormat>
    <chartFormat chart="17" format="5" series="1">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A1A0DA-8881-4CD0-B646-522E7D9536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F13:X20" firstHeaderRow="1" firstDataRow="2" firstDataCol="1"/>
  <pivotFields count="14">
    <pivotField axis="axisCol" showAll="0">
      <items count="18">
        <item x="0"/>
        <item x="1"/>
        <item x="8"/>
        <item x="2"/>
        <item x="3"/>
        <item x="4"/>
        <item x="5"/>
        <item x="6"/>
        <item x="7"/>
        <item x="9"/>
        <item x="10"/>
        <item x="11"/>
        <item x="12"/>
        <item x="13"/>
        <item x="14"/>
        <item x="15"/>
        <item x="16"/>
        <item t="default"/>
      </items>
    </pivotField>
    <pivotField axis="axisRow" showAll="0">
      <items count="6">
        <item x="0"/>
        <item x="1"/>
        <item x="2"/>
        <item x="3"/>
        <item x="4"/>
        <item t="default"/>
      </items>
    </pivotField>
    <pivotField showAll="0"/>
    <pivotField showAll="0"/>
    <pivotField numFmtId="165" showAll="0"/>
    <pivotField numFmtId="4" showAll="0"/>
    <pivotField numFmtId="4" showAll="0"/>
    <pivotField numFmtId="4" showAll="0"/>
    <pivotField numFmtId="4" showAll="0"/>
    <pivotField numFmtId="165" showAll="0"/>
    <pivotField numFmtId="168" showAll="0"/>
    <pivotField numFmtId="164" showAll="0"/>
    <pivotField numFmtId="165" showAll="0"/>
    <pivotField dataField="1" numFmtId="167" showAll="0"/>
  </pivotFields>
  <rowFields count="1">
    <field x="1"/>
  </rowFields>
  <rowItems count="6">
    <i>
      <x/>
    </i>
    <i>
      <x v="1"/>
    </i>
    <i>
      <x v="2"/>
    </i>
    <i>
      <x v="3"/>
    </i>
    <i>
      <x v="4"/>
    </i>
    <i t="grand">
      <x/>
    </i>
  </rowItems>
  <colFields count="1">
    <field x="0"/>
  </colFields>
  <colItems count="18">
    <i>
      <x/>
    </i>
    <i>
      <x v="1"/>
    </i>
    <i>
      <x v="2"/>
    </i>
    <i>
      <x v="3"/>
    </i>
    <i>
      <x v="4"/>
    </i>
    <i>
      <x v="5"/>
    </i>
    <i>
      <x v="6"/>
    </i>
    <i>
      <x v="7"/>
    </i>
    <i>
      <x v="8"/>
    </i>
    <i>
      <x v="9"/>
    </i>
    <i>
      <x v="10"/>
    </i>
    <i>
      <x v="11"/>
    </i>
    <i>
      <x v="12"/>
    </i>
    <i>
      <x v="13"/>
    </i>
    <i>
      <x v="14"/>
    </i>
    <i>
      <x v="15"/>
    </i>
    <i>
      <x v="16"/>
    </i>
    <i t="grand">
      <x/>
    </i>
  </colItems>
  <dataFields count="1">
    <dataField name="Average of HDI" fld="13" subtotal="average" baseField="1" baseItem="2" numFmtId="165"/>
  </dataFields>
  <formats count="10">
    <format dxfId="66">
      <pivotArea type="all" dataOnly="0" outline="0" fieldPosition="0"/>
    </format>
    <format dxfId="65">
      <pivotArea outline="0" collapsedLevelsAreSubtotals="1" fieldPosition="0"/>
    </format>
    <format dxfId="64">
      <pivotArea type="origin" dataOnly="0" labelOnly="1" outline="0" fieldPosition="0"/>
    </format>
    <format dxfId="63">
      <pivotArea field="0" type="button" dataOnly="0" labelOnly="1" outline="0" axis="axisCol" fieldPosition="0"/>
    </format>
    <format dxfId="62">
      <pivotArea type="topRight" dataOnly="0" labelOnly="1" outline="0"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grandRow="1" outline="0" fieldPosition="0"/>
    </format>
    <format dxfId="58">
      <pivotArea dataOnly="0" labelOnly="1" fieldPosition="0">
        <references count="1">
          <reference field="0" count="0"/>
        </references>
      </pivotArea>
    </format>
    <format dxfId="57">
      <pivotArea dataOnly="0" labelOnly="1" grandCol="1" outline="0" fieldPosition="0"/>
    </format>
  </formats>
  <chartFormats count="161">
    <chartFormat chart="29" format="0" series="1">
      <pivotArea type="data" outline="0" fieldPosition="0">
        <references count="2">
          <reference field="4294967294" count="1" selected="0">
            <x v="0"/>
          </reference>
          <reference field="1" count="1" selected="0">
            <x v="0"/>
          </reference>
        </references>
      </pivotArea>
    </chartFormat>
    <chartFormat chart="29" format="1"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2"/>
          </reference>
        </references>
      </pivotArea>
    </chartFormat>
    <chartFormat chart="29" format="3" series="1">
      <pivotArea type="data" outline="0" fieldPosition="0">
        <references count="2">
          <reference field="4294967294" count="1" selected="0">
            <x v="0"/>
          </reference>
          <reference field="1" count="1" selected="0">
            <x v="3"/>
          </reference>
        </references>
      </pivotArea>
    </chartFormat>
    <chartFormat chart="29" format="4" series="1">
      <pivotArea type="data" outline="0" fieldPosition="0">
        <references count="2">
          <reference field="4294967294" count="1" selected="0">
            <x v="0"/>
          </reference>
          <reference field="1" count="1" selected="0">
            <x v="4"/>
          </reference>
        </references>
      </pivotArea>
    </chartFormat>
    <chartFormat chart="58" format="0" series="1">
      <pivotArea type="data" outline="0" fieldPosition="0">
        <references count="2">
          <reference field="4294967294" count="1" selected="0">
            <x v="0"/>
          </reference>
          <reference field="1" count="1" selected="0">
            <x v="0"/>
          </reference>
        </references>
      </pivotArea>
    </chartFormat>
    <chartFormat chart="58" format="1" series="1">
      <pivotArea type="data" outline="0" fieldPosition="0">
        <references count="2">
          <reference field="4294967294" count="1" selected="0">
            <x v="0"/>
          </reference>
          <reference field="1" count="1" selected="0">
            <x v="1"/>
          </reference>
        </references>
      </pivotArea>
    </chartFormat>
    <chartFormat chart="58" format="2" series="1">
      <pivotArea type="data" outline="0" fieldPosition="0">
        <references count="2">
          <reference field="4294967294" count="1" selected="0">
            <x v="0"/>
          </reference>
          <reference field="1" count="1" selected="0">
            <x v="2"/>
          </reference>
        </references>
      </pivotArea>
    </chartFormat>
    <chartFormat chart="58" format="3" series="1">
      <pivotArea type="data" outline="0" fieldPosition="0">
        <references count="2">
          <reference field="4294967294" count="1" selected="0">
            <x v="0"/>
          </reference>
          <reference field="1" count="1" selected="0">
            <x v="3"/>
          </reference>
        </references>
      </pivotArea>
    </chartFormat>
    <chartFormat chart="58" format="4" series="1">
      <pivotArea type="data" outline="0" fieldPosition="0">
        <references count="2">
          <reference field="4294967294" count="1" selected="0">
            <x v="0"/>
          </reference>
          <reference field="1" count="1" selected="0">
            <x v="4"/>
          </reference>
        </references>
      </pivotArea>
    </chartFormat>
    <chartFormat chart="58"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58" format="6" series="1">
      <pivotArea type="data" outline="0" fieldPosition="0">
        <references count="2">
          <reference field="4294967294" count="1" selected="0">
            <x v="0"/>
          </reference>
          <reference field="0" count="1" selected="0">
            <x v="1"/>
          </reference>
        </references>
      </pivotArea>
    </chartFormat>
    <chartFormat chart="58" format="7" series="1">
      <pivotArea type="data" outline="0" fieldPosition="0">
        <references count="2">
          <reference field="4294967294" count="1" selected="0">
            <x v="0"/>
          </reference>
          <reference field="0" count="1" selected="0">
            <x v="2"/>
          </reference>
        </references>
      </pivotArea>
    </chartFormat>
    <chartFormat chart="58" format="8" series="1">
      <pivotArea type="data" outline="0" fieldPosition="0">
        <references count="2">
          <reference field="4294967294" count="1" selected="0">
            <x v="0"/>
          </reference>
          <reference field="0" count="1" selected="0">
            <x v="3"/>
          </reference>
        </references>
      </pivotArea>
    </chartFormat>
    <chartFormat chart="58" format="9" series="1">
      <pivotArea type="data" outline="0" fieldPosition="0">
        <references count="2">
          <reference field="4294967294" count="1" selected="0">
            <x v="0"/>
          </reference>
          <reference field="0" count="1" selected="0">
            <x v="4"/>
          </reference>
        </references>
      </pivotArea>
    </chartFormat>
    <chartFormat chart="58" format="10" series="1">
      <pivotArea type="data" outline="0" fieldPosition="0">
        <references count="2">
          <reference field="4294967294" count="1" selected="0">
            <x v="0"/>
          </reference>
          <reference field="0" count="1" selected="0">
            <x v="5"/>
          </reference>
        </references>
      </pivotArea>
    </chartFormat>
    <chartFormat chart="58" format="11" series="1">
      <pivotArea type="data" outline="0" fieldPosition="0">
        <references count="2">
          <reference field="4294967294" count="1" selected="0">
            <x v="0"/>
          </reference>
          <reference field="0" count="1" selected="0">
            <x v="6"/>
          </reference>
        </references>
      </pivotArea>
    </chartFormat>
    <chartFormat chart="58" format="12" series="1">
      <pivotArea type="data" outline="0" fieldPosition="0">
        <references count="2">
          <reference field="4294967294" count="1" selected="0">
            <x v="0"/>
          </reference>
          <reference field="0" count="1" selected="0">
            <x v="7"/>
          </reference>
        </references>
      </pivotArea>
    </chartFormat>
    <chartFormat chart="58" format="13" series="1">
      <pivotArea type="data" outline="0" fieldPosition="0">
        <references count="2">
          <reference field="4294967294" count="1" selected="0">
            <x v="0"/>
          </reference>
          <reference field="0" count="1" selected="0">
            <x v="8"/>
          </reference>
        </references>
      </pivotArea>
    </chartFormat>
    <chartFormat chart="58" format="14" series="1">
      <pivotArea type="data" outline="0" fieldPosition="0">
        <references count="2">
          <reference field="4294967294" count="1" selected="0">
            <x v="0"/>
          </reference>
          <reference field="0" count="1" selected="0">
            <x v="9"/>
          </reference>
        </references>
      </pivotArea>
    </chartFormat>
    <chartFormat chart="58" format="15" series="1">
      <pivotArea type="data" outline="0" fieldPosition="0">
        <references count="2">
          <reference field="4294967294" count="1" selected="0">
            <x v="0"/>
          </reference>
          <reference field="0" count="1" selected="0">
            <x v="10"/>
          </reference>
        </references>
      </pivotArea>
    </chartFormat>
    <chartFormat chart="58" format="16" series="1">
      <pivotArea type="data" outline="0" fieldPosition="0">
        <references count="2">
          <reference field="4294967294" count="1" selected="0">
            <x v="0"/>
          </reference>
          <reference field="0" count="1" selected="0">
            <x v="11"/>
          </reference>
        </references>
      </pivotArea>
    </chartFormat>
    <chartFormat chart="58" format="17" series="1">
      <pivotArea type="data" outline="0" fieldPosition="0">
        <references count="2">
          <reference field="4294967294" count="1" selected="0">
            <x v="0"/>
          </reference>
          <reference field="0" count="1" selected="0">
            <x v="12"/>
          </reference>
        </references>
      </pivotArea>
    </chartFormat>
    <chartFormat chart="58" format="18" series="1">
      <pivotArea type="data" outline="0" fieldPosition="0">
        <references count="2">
          <reference field="4294967294" count="1" selected="0">
            <x v="0"/>
          </reference>
          <reference field="0" count="1" selected="0">
            <x v="13"/>
          </reference>
        </references>
      </pivotArea>
    </chartFormat>
    <chartFormat chart="58" format="19" series="1">
      <pivotArea type="data" outline="0" fieldPosition="0">
        <references count="2">
          <reference field="4294967294" count="1" selected="0">
            <x v="0"/>
          </reference>
          <reference field="0" count="1" selected="0">
            <x v="14"/>
          </reference>
        </references>
      </pivotArea>
    </chartFormat>
    <chartFormat chart="58" format="20" series="1">
      <pivotArea type="data" outline="0" fieldPosition="0">
        <references count="2">
          <reference field="4294967294" count="1" selected="0">
            <x v="0"/>
          </reference>
          <reference field="0" count="1" selected="0">
            <x v="15"/>
          </reference>
        </references>
      </pivotArea>
    </chartFormat>
    <chartFormat chart="58" format="21" series="1">
      <pivotArea type="data" outline="0" fieldPosition="0">
        <references count="2">
          <reference field="4294967294" count="1" selected="0">
            <x v="0"/>
          </reference>
          <reference field="0" count="1" selected="0">
            <x v="16"/>
          </reference>
        </references>
      </pivotArea>
    </chartFormat>
    <chartFormat chart="29" format="6" series="1">
      <pivotArea type="data" outline="0" fieldPosition="0">
        <references count="2">
          <reference field="4294967294" count="1" selected="0">
            <x v="0"/>
          </reference>
          <reference field="0" count="1" selected="0">
            <x v="1"/>
          </reference>
        </references>
      </pivotArea>
    </chartFormat>
    <chartFormat chart="29" format="7" series="1">
      <pivotArea type="data" outline="0" fieldPosition="0">
        <references count="2">
          <reference field="4294967294" count="1" selected="0">
            <x v="0"/>
          </reference>
          <reference field="0" count="1" selected="0">
            <x v="2"/>
          </reference>
        </references>
      </pivotArea>
    </chartFormat>
    <chartFormat chart="29" format="8" series="1">
      <pivotArea type="data" outline="0" fieldPosition="0">
        <references count="2">
          <reference field="4294967294" count="1" selected="0">
            <x v="0"/>
          </reference>
          <reference field="0" count="1" selected="0">
            <x v="3"/>
          </reference>
        </references>
      </pivotArea>
    </chartFormat>
    <chartFormat chart="29" format="9" series="1">
      <pivotArea type="data" outline="0" fieldPosition="0">
        <references count="2">
          <reference field="4294967294" count="1" selected="0">
            <x v="0"/>
          </reference>
          <reference field="0" count="1" selected="0">
            <x v="4"/>
          </reference>
        </references>
      </pivotArea>
    </chartFormat>
    <chartFormat chart="29" format="10" series="1">
      <pivotArea type="data" outline="0" fieldPosition="0">
        <references count="2">
          <reference field="4294967294" count="1" selected="0">
            <x v="0"/>
          </reference>
          <reference field="0" count="1" selected="0">
            <x v="5"/>
          </reference>
        </references>
      </pivotArea>
    </chartFormat>
    <chartFormat chart="29" format="11" series="1">
      <pivotArea type="data" outline="0" fieldPosition="0">
        <references count="2">
          <reference field="4294967294" count="1" selected="0">
            <x v="0"/>
          </reference>
          <reference field="0" count="1" selected="0">
            <x v="6"/>
          </reference>
        </references>
      </pivotArea>
    </chartFormat>
    <chartFormat chart="29" format="12" series="1">
      <pivotArea type="data" outline="0" fieldPosition="0">
        <references count="2">
          <reference field="4294967294" count="1" selected="0">
            <x v="0"/>
          </reference>
          <reference field="0" count="1" selected="0">
            <x v="7"/>
          </reference>
        </references>
      </pivotArea>
    </chartFormat>
    <chartFormat chart="29" format="13" series="1">
      <pivotArea type="data" outline="0" fieldPosition="0">
        <references count="2">
          <reference field="4294967294" count="1" selected="0">
            <x v="0"/>
          </reference>
          <reference field="0" count="1" selected="0">
            <x v="8"/>
          </reference>
        </references>
      </pivotArea>
    </chartFormat>
    <chartFormat chart="29" format="14" series="1">
      <pivotArea type="data" outline="0" fieldPosition="0">
        <references count="2">
          <reference field="4294967294" count="1" selected="0">
            <x v="0"/>
          </reference>
          <reference field="0" count="1" selected="0">
            <x v="9"/>
          </reference>
        </references>
      </pivotArea>
    </chartFormat>
    <chartFormat chart="29" format="15" series="1">
      <pivotArea type="data" outline="0" fieldPosition="0">
        <references count="2">
          <reference field="4294967294" count="1" selected="0">
            <x v="0"/>
          </reference>
          <reference field="0" count="1" selected="0">
            <x v="10"/>
          </reference>
        </references>
      </pivotArea>
    </chartFormat>
    <chartFormat chart="29" format="16" series="1">
      <pivotArea type="data" outline="0" fieldPosition="0">
        <references count="2">
          <reference field="4294967294" count="1" selected="0">
            <x v="0"/>
          </reference>
          <reference field="0" count="1" selected="0">
            <x v="11"/>
          </reference>
        </references>
      </pivotArea>
    </chartFormat>
    <chartFormat chart="29" format="17" series="1">
      <pivotArea type="data" outline="0" fieldPosition="0">
        <references count="2">
          <reference field="4294967294" count="1" selected="0">
            <x v="0"/>
          </reference>
          <reference field="0" count="1" selected="0">
            <x v="12"/>
          </reference>
        </references>
      </pivotArea>
    </chartFormat>
    <chartFormat chart="29" format="18" series="1">
      <pivotArea type="data" outline="0" fieldPosition="0">
        <references count="2">
          <reference field="4294967294" count="1" selected="0">
            <x v="0"/>
          </reference>
          <reference field="0" count="1" selected="0">
            <x v="13"/>
          </reference>
        </references>
      </pivotArea>
    </chartFormat>
    <chartFormat chart="29" format="19" series="1">
      <pivotArea type="data" outline="0" fieldPosition="0">
        <references count="2">
          <reference field="4294967294" count="1" selected="0">
            <x v="0"/>
          </reference>
          <reference field="0" count="1" selected="0">
            <x v="14"/>
          </reference>
        </references>
      </pivotArea>
    </chartFormat>
    <chartFormat chart="29" format="20" series="1">
      <pivotArea type="data" outline="0" fieldPosition="0">
        <references count="2">
          <reference field="4294967294" count="1" selected="0">
            <x v="0"/>
          </reference>
          <reference field="0" count="1" selected="0">
            <x v="15"/>
          </reference>
        </references>
      </pivotArea>
    </chartFormat>
    <chartFormat chart="29" format="21" series="1">
      <pivotArea type="data" outline="0" fieldPosition="0">
        <references count="2">
          <reference field="4294967294" count="1" selected="0">
            <x v="0"/>
          </reference>
          <reference field="0" count="1" selected="0">
            <x v="16"/>
          </reference>
        </references>
      </pivotArea>
    </chartFormat>
    <chartFormat chart="29" format="22" series="1">
      <pivotArea type="data" outline="0" fieldPosition="0">
        <references count="2">
          <reference field="4294967294" count="1" selected="0">
            <x v="0"/>
          </reference>
          <reference field="0" count="1" selected="0">
            <x v="0"/>
          </reference>
        </references>
      </pivotArea>
    </chartFormat>
    <chartFormat chart="63" format="23" series="1">
      <pivotArea type="data" outline="0" fieldPosition="0">
        <references count="2">
          <reference field="4294967294" count="1" selected="0">
            <x v="0"/>
          </reference>
          <reference field="0" count="1" selected="0">
            <x v="0"/>
          </reference>
        </references>
      </pivotArea>
    </chartFormat>
    <chartFormat chart="63" format="24" series="1">
      <pivotArea type="data" outline="0" fieldPosition="0">
        <references count="2">
          <reference field="4294967294" count="1" selected="0">
            <x v="0"/>
          </reference>
          <reference field="0" count="1" selected="0">
            <x v="1"/>
          </reference>
        </references>
      </pivotArea>
    </chartFormat>
    <chartFormat chart="63" format="25" series="1">
      <pivotArea type="data" outline="0" fieldPosition="0">
        <references count="2">
          <reference field="4294967294" count="1" selected="0">
            <x v="0"/>
          </reference>
          <reference field="0" count="1" selected="0">
            <x v="2"/>
          </reference>
        </references>
      </pivotArea>
    </chartFormat>
    <chartFormat chart="63" format="26" series="1">
      <pivotArea type="data" outline="0" fieldPosition="0">
        <references count="2">
          <reference field="4294967294" count="1" selected="0">
            <x v="0"/>
          </reference>
          <reference field="0" count="1" selected="0">
            <x v="3"/>
          </reference>
        </references>
      </pivotArea>
    </chartFormat>
    <chartFormat chart="63" format="27" series="1">
      <pivotArea type="data" outline="0" fieldPosition="0">
        <references count="2">
          <reference field="4294967294" count="1" selected="0">
            <x v="0"/>
          </reference>
          <reference field="0" count="1" selected="0">
            <x v="4"/>
          </reference>
        </references>
      </pivotArea>
    </chartFormat>
    <chartFormat chart="63" format="28" series="1">
      <pivotArea type="data" outline="0" fieldPosition="0">
        <references count="2">
          <reference field="4294967294" count="1" selected="0">
            <x v="0"/>
          </reference>
          <reference field="0" count="1" selected="0">
            <x v="5"/>
          </reference>
        </references>
      </pivotArea>
    </chartFormat>
    <chartFormat chart="63" format="29" series="1">
      <pivotArea type="data" outline="0" fieldPosition="0">
        <references count="2">
          <reference field="4294967294" count="1" selected="0">
            <x v="0"/>
          </reference>
          <reference field="0" count="1" selected="0">
            <x v="6"/>
          </reference>
        </references>
      </pivotArea>
    </chartFormat>
    <chartFormat chart="63" format="30" series="1">
      <pivotArea type="data" outline="0" fieldPosition="0">
        <references count="2">
          <reference field="4294967294" count="1" selected="0">
            <x v="0"/>
          </reference>
          <reference field="0" count="1" selected="0">
            <x v="7"/>
          </reference>
        </references>
      </pivotArea>
    </chartFormat>
    <chartFormat chart="63" format="31" series="1">
      <pivotArea type="data" outline="0" fieldPosition="0">
        <references count="2">
          <reference field="4294967294" count="1" selected="0">
            <x v="0"/>
          </reference>
          <reference field="0" count="1" selected="0">
            <x v="8"/>
          </reference>
        </references>
      </pivotArea>
    </chartFormat>
    <chartFormat chart="63" format="32" series="1">
      <pivotArea type="data" outline="0" fieldPosition="0">
        <references count="2">
          <reference field="4294967294" count="1" selected="0">
            <x v="0"/>
          </reference>
          <reference field="0" count="1" selected="0">
            <x v="9"/>
          </reference>
        </references>
      </pivotArea>
    </chartFormat>
    <chartFormat chart="63" format="33" series="1">
      <pivotArea type="data" outline="0" fieldPosition="0">
        <references count="2">
          <reference field="4294967294" count="1" selected="0">
            <x v="0"/>
          </reference>
          <reference field="0" count="1" selected="0">
            <x v="10"/>
          </reference>
        </references>
      </pivotArea>
    </chartFormat>
    <chartFormat chart="63" format="34" series="1">
      <pivotArea type="data" outline="0" fieldPosition="0">
        <references count="2">
          <reference field="4294967294" count="1" selected="0">
            <x v="0"/>
          </reference>
          <reference field="0" count="1" selected="0">
            <x v="11"/>
          </reference>
        </references>
      </pivotArea>
    </chartFormat>
    <chartFormat chart="63" format="35" series="1">
      <pivotArea type="data" outline="0" fieldPosition="0">
        <references count="2">
          <reference field="4294967294" count="1" selected="0">
            <x v="0"/>
          </reference>
          <reference field="0" count="1" selected="0">
            <x v="12"/>
          </reference>
        </references>
      </pivotArea>
    </chartFormat>
    <chartFormat chart="63" format="36" series="1">
      <pivotArea type="data" outline="0" fieldPosition="0">
        <references count="2">
          <reference field="4294967294" count="1" selected="0">
            <x v="0"/>
          </reference>
          <reference field="0" count="1" selected="0">
            <x v="13"/>
          </reference>
        </references>
      </pivotArea>
    </chartFormat>
    <chartFormat chart="63" format="37" series="1">
      <pivotArea type="data" outline="0" fieldPosition="0">
        <references count="2">
          <reference field="4294967294" count="1" selected="0">
            <x v="0"/>
          </reference>
          <reference field="0" count="1" selected="0">
            <x v="14"/>
          </reference>
        </references>
      </pivotArea>
    </chartFormat>
    <chartFormat chart="63" format="38" series="1">
      <pivotArea type="data" outline="0" fieldPosition="0">
        <references count="2">
          <reference field="4294967294" count="1" selected="0">
            <x v="0"/>
          </reference>
          <reference field="0" count="1" selected="0">
            <x v="15"/>
          </reference>
        </references>
      </pivotArea>
    </chartFormat>
    <chartFormat chart="63" format="39" series="1">
      <pivotArea type="data" outline="0" fieldPosition="0">
        <references count="2">
          <reference field="4294967294" count="1" selected="0">
            <x v="0"/>
          </reference>
          <reference field="0" count="1" selected="0">
            <x v="16"/>
          </reference>
        </references>
      </pivotArea>
    </chartFormat>
    <chartFormat chart="64" format="40" series="1">
      <pivotArea type="data" outline="0" fieldPosition="0">
        <references count="2">
          <reference field="4294967294" count="1" selected="0">
            <x v="0"/>
          </reference>
          <reference field="0" count="1" selected="0">
            <x v="0"/>
          </reference>
        </references>
      </pivotArea>
    </chartFormat>
    <chartFormat chart="64" format="41" series="1">
      <pivotArea type="data" outline="0" fieldPosition="0">
        <references count="2">
          <reference field="4294967294" count="1" selected="0">
            <x v="0"/>
          </reference>
          <reference field="0" count="1" selected="0">
            <x v="1"/>
          </reference>
        </references>
      </pivotArea>
    </chartFormat>
    <chartFormat chart="64" format="42" series="1">
      <pivotArea type="data" outline="0" fieldPosition="0">
        <references count="2">
          <reference field="4294967294" count="1" selected="0">
            <x v="0"/>
          </reference>
          <reference field="0" count="1" selected="0">
            <x v="2"/>
          </reference>
        </references>
      </pivotArea>
    </chartFormat>
    <chartFormat chart="64" format="43" series="1">
      <pivotArea type="data" outline="0" fieldPosition="0">
        <references count="2">
          <reference field="4294967294" count="1" selected="0">
            <x v="0"/>
          </reference>
          <reference field="0" count="1" selected="0">
            <x v="3"/>
          </reference>
        </references>
      </pivotArea>
    </chartFormat>
    <chartFormat chart="64" format="44" series="1">
      <pivotArea type="data" outline="0" fieldPosition="0">
        <references count="2">
          <reference field="4294967294" count="1" selected="0">
            <x v="0"/>
          </reference>
          <reference field="0" count="1" selected="0">
            <x v="4"/>
          </reference>
        </references>
      </pivotArea>
    </chartFormat>
    <chartFormat chart="64" format="45" series="1">
      <pivotArea type="data" outline="0" fieldPosition="0">
        <references count="2">
          <reference field="4294967294" count="1" selected="0">
            <x v="0"/>
          </reference>
          <reference field="0" count="1" selected="0">
            <x v="5"/>
          </reference>
        </references>
      </pivotArea>
    </chartFormat>
    <chartFormat chart="64" format="46" series="1">
      <pivotArea type="data" outline="0" fieldPosition="0">
        <references count="2">
          <reference field="4294967294" count="1" selected="0">
            <x v="0"/>
          </reference>
          <reference field="0" count="1" selected="0">
            <x v="6"/>
          </reference>
        </references>
      </pivotArea>
    </chartFormat>
    <chartFormat chart="64" format="47" series="1">
      <pivotArea type="data" outline="0" fieldPosition="0">
        <references count="2">
          <reference field="4294967294" count="1" selected="0">
            <x v="0"/>
          </reference>
          <reference field="0" count="1" selected="0">
            <x v="7"/>
          </reference>
        </references>
      </pivotArea>
    </chartFormat>
    <chartFormat chart="64" format="48" series="1">
      <pivotArea type="data" outline="0" fieldPosition="0">
        <references count="2">
          <reference field="4294967294" count="1" selected="0">
            <x v="0"/>
          </reference>
          <reference field="0" count="1" selected="0">
            <x v="8"/>
          </reference>
        </references>
      </pivotArea>
    </chartFormat>
    <chartFormat chart="64" format="49" series="1">
      <pivotArea type="data" outline="0" fieldPosition="0">
        <references count="2">
          <reference field="4294967294" count="1" selected="0">
            <x v="0"/>
          </reference>
          <reference field="0" count="1" selected="0">
            <x v="9"/>
          </reference>
        </references>
      </pivotArea>
    </chartFormat>
    <chartFormat chart="64" format="50" series="1">
      <pivotArea type="data" outline="0" fieldPosition="0">
        <references count="2">
          <reference field="4294967294" count="1" selected="0">
            <x v="0"/>
          </reference>
          <reference field="0" count="1" selected="0">
            <x v="10"/>
          </reference>
        </references>
      </pivotArea>
    </chartFormat>
    <chartFormat chart="64" format="51" series="1">
      <pivotArea type="data" outline="0" fieldPosition="0">
        <references count="2">
          <reference field="4294967294" count="1" selected="0">
            <x v="0"/>
          </reference>
          <reference field="0" count="1" selected="0">
            <x v="11"/>
          </reference>
        </references>
      </pivotArea>
    </chartFormat>
    <chartFormat chart="64" format="52" series="1">
      <pivotArea type="data" outline="0" fieldPosition="0">
        <references count="2">
          <reference field="4294967294" count="1" selected="0">
            <x v="0"/>
          </reference>
          <reference field="0" count="1" selected="0">
            <x v="12"/>
          </reference>
        </references>
      </pivotArea>
    </chartFormat>
    <chartFormat chart="64" format="53" series="1">
      <pivotArea type="data" outline="0" fieldPosition="0">
        <references count="2">
          <reference field="4294967294" count="1" selected="0">
            <x v="0"/>
          </reference>
          <reference field="0" count="1" selected="0">
            <x v="13"/>
          </reference>
        </references>
      </pivotArea>
    </chartFormat>
    <chartFormat chart="64" format="54" series="1">
      <pivotArea type="data" outline="0" fieldPosition="0">
        <references count="2">
          <reference field="4294967294" count="1" selected="0">
            <x v="0"/>
          </reference>
          <reference field="0" count="1" selected="0">
            <x v="14"/>
          </reference>
        </references>
      </pivotArea>
    </chartFormat>
    <chartFormat chart="64" format="55" series="1">
      <pivotArea type="data" outline="0" fieldPosition="0">
        <references count="2">
          <reference field="4294967294" count="1" selected="0">
            <x v="0"/>
          </reference>
          <reference field="0" count="1" selected="0">
            <x v="15"/>
          </reference>
        </references>
      </pivotArea>
    </chartFormat>
    <chartFormat chart="64" format="56" series="1">
      <pivotArea type="data" outline="0" fieldPosition="0">
        <references count="2">
          <reference field="4294967294" count="1" selected="0">
            <x v="0"/>
          </reference>
          <reference field="0" count="1" selected="0">
            <x v="16"/>
          </reference>
        </references>
      </pivotArea>
    </chartFormat>
    <chartFormat chart="76" format="0" series="1">
      <pivotArea type="data" outline="0" fieldPosition="0">
        <references count="2">
          <reference field="4294967294" count="1" selected="0">
            <x v="0"/>
          </reference>
          <reference field="0" count="1" selected="0">
            <x v="0"/>
          </reference>
        </references>
      </pivotArea>
    </chartFormat>
    <chartFormat chart="76" format="1" series="1">
      <pivotArea type="data" outline="0" fieldPosition="0">
        <references count="2">
          <reference field="4294967294" count="1" selected="0">
            <x v="0"/>
          </reference>
          <reference field="0" count="1" selected="0">
            <x v="1"/>
          </reference>
        </references>
      </pivotArea>
    </chartFormat>
    <chartFormat chart="76" format="2" series="1">
      <pivotArea type="data" outline="0" fieldPosition="0">
        <references count="2">
          <reference field="4294967294" count="1" selected="0">
            <x v="0"/>
          </reference>
          <reference field="0" count="1" selected="0">
            <x v="2"/>
          </reference>
        </references>
      </pivotArea>
    </chartFormat>
    <chartFormat chart="76" format="3" series="1">
      <pivotArea type="data" outline="0" fieldPosition="0">
        <references count="2">
          <reference field="4294967294" count="1" selected="0">
            <x v="0"/>
          </reference>
          <reference field="0" count="1" selected="0">
            <x v="3"/>
          </reference>
        </references>
      </pivotArea>
    </chartFormat>
    <chartFormat chart="76" format="4" series="1">
      <pivotArea type="data" outline="0" fieldPosition="0">
        <references count="2">
          <reference field="4294967294" count="1" selected="0">
            <x v="0"/>
          </reference>
          <reference field="0" count="1" selected="0">
            <x v="4"/>
          </reference>
        </references>
      </pivotArea>
    </chartFormat>
    <chartFormat chart="76" format="5" series="1">
      <pivotArea type="data" outline="0" fieldPosition="0">
        <references count="2">
          <reference field="4294967294" count="1" selected="0">
            <x v="0"/>
          </reference>
          <reference field="0" count="1" selected="0">
            <x v="5"/>
          </reference>
        </references>
      </pivotArea>
    </chartFormat>
    <chartFormat chart="76" format="6" series="1">
      <pivotArea type="data" outline="0" fieldPosition="0">
        <references count="2">
          <reference field="4294967294" count="1" selected="0">
            <x v="0"/>
          </reference>
          <reference field="0" count="1" selected="0">
            <x v="6"/>
          </reference>
        </references>
      </pivotArea>
    </chartFormat>
    <chartFormat chart="76" format="7" series="1">
      <pivotArea type="data" outline="0" fieldPosition="0">
        <references count="2">
          <reference field="4294967294" count="1" selected="0">
            <x v="0"/>
          </reference>
          <reference field="0" count="1" selected="0">
            <x v="7"/>
          </reference>
        </references>
      </pivotArea>
    </chartFormat>
    <chartFormat chart="76" format="8" series="1">
      <pivotArea type="data" outline="0" fieldPosition="0">
        <references count="2">
          <reference field="4294967294" count="1" selected="0">
            <x v="0"/>
          </reference>
          <reference field="0" count="1" selected="0">
            <x v="8"/>
          </reference>
        </references>
      </pivotArea>
    </chartFormat>
    <chartFormat chart="76" format="9" series="1">
      <pivotArea type="data" outline="0" fieldPosition="0">
        <references count="2">
          <reference field="4294967294" count="1" selected="0">
            <x v="0"/>
          </reference>
          <reference field="0" count="1" selected="0">
            <x v="9"/>
          </reference>
        </references>
      </pivotArea>
    </chartFormat>
    <chartFormat chart="76" format="10" series="1">
      <pivotArea type="data" outline="0" fieldPosition="0">
        <references count="2">
          <reference field="4294967294" count="1" selected="0">
            <x v="0"/>
          </reference>
          <reference field="0" count="1" selected="0">
            <x v="10"/>
          </reference>
        </references>
      </pivotArea>
    </chartFormat>
    <chartFormat chart="76" format="11" series="1">
      <pivotArea type="data" outline="0" fieldPosition="0">
        <references count="2">
          <reference field="4294967294" count="1" selected="0">
            <x v="0"/>
          </reference>
          <reference field="0" count="1" selected="0">
            <x v="11"/>
          </reference>
        </references>
      </pivotArea>
    </chartFormat>
    <chartFormat chart="76" format="12" series="1">
      <pivotArea type="data" outline="0" fieldPosition="0">
        <references count="2">
          <reference field="4294967294" count="1" selected="0">
            <x v="0"/>
          </reference>
          <reference field="0" count="1" selected="0">
            <x v="12"/>
          </reference>
        </references>
      </pivotArea>
    </chartFormat>
    <chartFormat chart="76" format="13" series="1">
      <pivotArea type="data" outline="0" fieldPosition="0">
        <references count="2">
          <reference field="4294967294" count="1" selected="0">
            <x v="0"/>
          </reference>
          <reference field="0" count="1" selected="0">
            <x v="13"/>
          </reference>
        </references>
      </pivotArea>
    </chartFormat>
    <chartFormat chart="76" format="14" series="1">
      <pivotArea type="data" outline="0" fieldPosition="0">
        <references count="2">
          <reference field="4294967294" count="1" selected="0">
            <x v="0"/>
          </reference>
          <reference field="0" count="1" selected="0">
            <x v="14"/>
          </reference>
        </references>
      </pivotArea>
    </chartFormat>
    <chartFormat chart="76" format="15" series="1">
      <pivotArea type="data" outline="0" fieldPosition="0">
        <references count="2">
          <reference field="4294967294" count="1" selected="0">
            <x v="0"/>
          </reference>
          <reference field="0" count="1" selected="0">
            <x v="15"/>
          </reference>
        </references>
      </pivotArea>
    </chartFormat>
    <chartFormat chart="76" format="16" series="1">
      <pivotArea type="data" outline="0" fieldPosition="0">
        <references count="2">
          <reference field="4294967294" count="1" selected="0">
            <x v="0"/>
          </reference>
          <reference field="0" count="1" selected="0">
            <x v="16"/>
          </reference>
        </references>
      </pivotArea>
    </chartFormat>
    <chartFormat chart="79" format="17" series="1">
      <pivotArea type="data" outline="0" fieldPosition="0">
        <references count="2">
          <reference field="4294967294" count="1" selected="0">
            <x v="0"/>
          </reference>
          <reference field="0" count="1" selected="0">
            <x v="0"/>
          </reference>
        </references>
      </pivotArea>
    </chartFormat>
    <chartFormat chart="79" format="18" series="1">
      <pivotArea type="data" outline="0" fieldPosition="0">
        <references count="2">
          <reference field="4294967294" count="1" selected="0">
            <x v="0"/>
          </reference>
          <reference field="0" count="1" selected="0">
            <x v="1"/>
          </reference>
        </references>
      </pivotArea>
    </chartFormat>
    <chartFormat chart="79" format="19" series="1">
      <pivotArea type="data" outline="0" fieldPosition="0">
        <references count="2">
          <reference field="4294967294" count="1" selected="0">
            <x v="0"/>
          </reference>
          <reference field="0" count="1" selected="0">
            <x v="2"/>
          </reference>
        </references>
      </pivotArea>
    </chartFormat>
    <chartFormat chart="79" format="20" series="1">
      <pivotArea type="data" outline="0" fieldPosition="0">
        <references count="2">
          <reference field="4294967294" count="1" selected="0">
            <x v="0"/>
          </reference>
          <reference field="0" count="1" selected="0">
            <x v="3"/>
          </reference>
        </references>
      </pivotArea>
    </chartFormat>
    <chartFormat chart="79" format="21" series="1">
      <pivotArea type="data" outline="0" fieldPosition="0">
        <references count="2">
          <reference field="4294967294" count="1" selected="0">
            <x v="0"/>
          </reference>
          <reference field="0" count="1" selected="0">
            <x v="5"/>
          </reference>
        </references>
      </pivotArea>
    </chartFormat>
    <chartFormat chart="79" format="22" series="1">
      <pivotArea type="data" outline="0" fieldPosition="0">
        <references count="2">
          <reference field="4294967294" count="1" selected="0">
            <x v="0"/>
          </reference>
          <reference field="0" count="1" selected="0">
            <x v="6"/>
          </reference>
        </references>
      </pivotArea>
    </chartFormat>
    <chartFormat chart="79" format="23" series="1">
      <pivotArea type="data" outline="0" fieldPosition="0">
        <references count="2">
          <reference field="4294967294" count="1" selected="0">
            <x v="0"/>
          </reference>
          <reference field="0" count="1" selected="0">
            <x v="7"/>
          </reference>
        </references>
      </pivotArea>
    </chartFormat>
    <chartFormat chart="79" format="24" series="1">
      <pivotArea type="data" outline="0" fieldPosition="0">
        <references count="2">
          <reference field="4294967294" count="1" selected="0">
            <x v="0"/>
          </reference>
          <reference field="0" count="1" selected="0">
            <x v="8"/>
          </reference>
        </references>
      </pivotArea>
    </chartFormat>
    <chartFormat chart="79" format="25" series="1">
      <pivotArea type="data" outline="0" fieldPosition="0">
        <references count="2">
          <reference field="4294967294" count="1" selected="0">
            <x v="0"/>
          </reference>
          <reference field="0" count="1" selected="0">
            <x v="9"/>
          </reference>
        </references>
      </pivotArea>
    </chartFormat>
    <chartFormat chart="79" format="26" series="1">
      <pivotArea type="data" outline="0" fieldPosition="0">
        <references count="2">
          <reference field="4294967294" count="1" selected="0">
            <x v="0"/>
          </reference>
          <reference field="0" count="1" selected="0">
            <x v="10"/>
          </reference>
        </references>
      </pivotArea>
    </chartFormat>
    <chartFormat chart="79" format="27" series="1">
      <pivotArea type="data" outline="0" fieldPosition="0">
        <references count="2">
          <reference field="4294967294" count="1" selected="0">
            <x v="0"/>
          </reference>
          <reference field="0" count="1" selected="0">
            <x v="11"/>
          </reference>
        </references>
      </pivotArea>
    </chartFormat>
    <chartFormat chart="79" format="28" series="1">
      <pivotArea type="data" outline="0" fieldPosition="0">
        <references count="2">
          <reference field="4294967294" count="1" selected="0">
            <x v="0"/>
          </reference>
          <reference field="0" count="1" selected="0">
            <x v="12"/>
          </reference>
        </references>
      </pivotArea>
    </chartFormat>
    <chartFormat chart="79" format="29" series="1">
      <pivotArea type="data" outline="0" fieldPosition="0">
        <references count="2">
          <reference field="4294967294" count="1" selected="0">
            <x v="0"/>
          </reference>
          <reference field="0" count="1" selected="0">
            <x v="13"/>
          </reference>
        </references>
      </pivotArea>
    </chartFormat>
    <chartFormat chart="79" format="30" series="1">
      <pivotArea type="data" outline="0" fieldPosition="0">
        <references count="2">
          <reference field="4294967294" count="1" selected="0">
            <x v="0"/>
          </reference>
          <reference field="0" count="1" selected="0">
            <x v="14"/>
          </reference>
        </references>
      </pivotArea>
    </chartFormat>
    <chartFormat chart="79" format="31" series="1">
      <pivotArea type="data" outline="0" fieldPosition="0">
        <references count="2">
          <reference field="4294967294" count="1" selected="0">
            <x v="0"/>
          </reference>
          <reference field="0" count="1" selected="0">
            <x v="15"/>
          </reference>
        </references>
      </pivotArea>
    </chartFormat>
    <chartFormat chart="79" format="32" series="1">
      <pivotArea type="data" outline="0" fieldPosition="0">
        <references count="2">
          <reference field="4294967294" count="1" selected="0">
            <x v="0"/>
          </reference>
          <reference field="0" count="1" selected="0">
            <x v="16"/>
          </reference>
        </references>
      </pivotArea>
    </chartFormat>
    <chartFormat chart="80" format="33" series="1">
      <pivotArea type="data" outline="0" fieldPosition="0">
        <references count="2">
          <reference field="4294967294" count="1" selected="0">
            <x v="0"/>
          </reference>
          <reference field="0" count="1" selected="0">
            <x v="0"/>
          </reference>
        </references>
      </pivotArea>
    </chartFormat>
    <chartFormat chart="80" format="34" series="1">
      <pivotArea type="data" outline="0" fieldPosition="0">
        <references count="2">
          <reference field="4294967294" count="1" selected="0">
            <x v="0"/>
          </reference>
          <reference field="0" count="1" selected="0">
            <x v="1"/>
          </reference>
        </references>
      </pivotArea>
    </chartFormat>
    <chartFormat chart="80" format="35" series="1">
      <pivotArea type="data" outline="0" fieldPosition="0">
        <references count="2">
          <reference field="4294967294" count="1" selected="0">
            <x v="0"/>
          </reference>
          <reference field="0" count="1" selected="0">
            <x v="2"/>
          </reference>
        </references>
      </pivotArea>
    </chartFormat>
    <chartFormat chart="80" format="36" series="1">
      <pivotArea type="data" outline="0" fieldPosition="0">
        <references count="2">
          <reference field="4294967294" count="1" selected="0">
            <x v="0"/>
          </reference>
          <reference field="0" count="1" selected="0">
            <x v="3"/>
          </reference>
        </references>
      </pivotArea>
    </chartFormat>
    <chartFormat chart="80" format="37" series="1">
      <pivotArea type="data" outline="0" fieldPosition="0">
        <references count="2">
          <reference field="4294967294" count="1" selected="0">
            <x v="0"/>
          </reference>
          <reference field="0" count="1" selected="0">
            <x v="5"/>
          </reference>
        </references>
      </pivotArea>
    </chartFormat>
    <chartFormat chart="80" format="38" series="1">
      <pivotArea type="data" outline="0" fieldPosition="0">
        <references count="2">
          <reference field="4294967294" count="1" selected="0">
            <x v="0"/>
          </reference>
          <reference field="0" count="1" selected="0">
            <x v="6"/>
          </reference>
        </references>
      </pivotArea>
    </chartFormat>
    <chartFormat chart="80" format="39" series="1">
      <pivotArea type="data" outline="0" fieldPosition="0">
        <references count="2">
          <reference field="4294967294" count="1" selected="0">
            <x v="0"/>
          </reference>
          <reference field="0" count="1" selected="0">
            <x v="7"/>
          </reference>
        </references>
      </pivotArea>
    </chartFormat>
    <chartFormat chart="80" format="40" series="1">
      <pivotArea type="data" outline="0" fieldPosition="0">
        <references count="2">
          <reference field="4294967294" count="1" selected="0">
            <x v="0"/>
          </reference>
          <reference field="0" count="1" selected="0">
            <x v="8"/>
          </reference>
        </references>
      </pivotArea>
    </chartFormat>
    <chartFormat chart="80" format="41" series="1">
      <pivotArea type="data" outline="0" fieldPosition="0">
        <references count="2">
          <reference field="4294967294" count="1" selected="0">
            <x v="0"/>
          </reference>
          <reference field="0" count="1" selected="0">
            <x v="9"/>
          </reference>
        </references>
      </pivotArea>
    </chartFormat>
    <chartFormat chart="80" format="42" series="1">
      <pivotArea type="data" outline="0" fieldPosition="0">
        <references count="2">
          <reference field="4294967294" count="1" selected="0">
            <x v="0"/>
          </reference>
          <reference field="0" count="1" selected="0">
            <x v="10"/>
          </reference>
        </references>
      </pivotArea>
    </chartFormat>
    <chartFormat chart="80" format="43" series="1">
      <pivotArea type="data" outline="0" fieldPosition="0">
        <references count="2">
          <reference field="4294967294" count="1" selected="0">
            <x v="0"/>
          </reference>
          <reference field="0" count="1" selected="0">
            <x v="11"/>
          </reference>
        </references>
      </pivotArea>
    </chartFormat>
    <chartFormat chart="80" format="44" series="1">
      <pivotArea type="data" outline="0" fieldPosition="0">
        <references count="2">
          <reference field="4294967294" count="1" selected="0">
            <x v="0"/>
          </reference>
          <reference field="0" count="1" selected="0">
            <x v="12"/>
          </reference>
        </references>
      </pivotArea>
    </chartFormat>
    <chartFormat chart="80" format="45" series="1">
      <pivotArea type="data" outline="0" fieldPosition="0">
        <references count="2">
          <reference field="4294967294" count="1" selected="0">
            <x v="0"/>
          </reference>
          <reference field="0" count="1" selected="0">
            <x v="13"/>
          </reference>
        </references>
      </pivotArea>
    </chartFormat>
    <chartFormat chart="80" format="46" series="1">
      <pivotArea type="data" outline="0" fieldPosition="0">
        <references count="2">
          <reference field="4294967294" count="1" selected="0">
            <x v="0"/>
          </reference>
          <reference field="0" count="1" selected="0">
            <x v="14"/>
          </reference>
        </references>
      </pivotArea>
    </chartFormat>
    <chartFormat chart="80" format="47" series="1">
      <pivotArea type="data" outline="0" fieldPosition="0">
        <references count="2">
          <reference field="4294967294" count="1" selected="0">
            <x v="0"/>
          </reference>
          <reference field="0" count="1" selected="0">
            <x v="15"/>
          </reference>
        </references>
      </pivotArea>
    </chartFormat>
    <chartFormat chart="80" format="48" series="1">
      <pivotArea type="data" outline="0" fieldPosition="0">
        <references count="2">
          <reference field="4294967294" count="1" selected="0">
            <x v="0"/>
          </reference>
          <reference field="0" count="1" selected="0">
            <x v="16"/>
          </reference>
        </references>
      </pivotArea>
    </chartFormat>
    <chartFormat chart="81" format="33" series="1">
      <pivotArea type="data" outline="0" fieldPosition="0">
        <references count="2">
          <reference field="4294967294" count="1" selected="0">
            <x v="0"/>
          </reference>
          <reference field="0" count="1" selected="0">
            <x v="0"/>
          </reference>
        </references>
      </pivotArea>
    </chartFormat>
    <chartFormat chart="81" format="34" series="1">
      <pivotArea type="data" outline="0" fieldPosition="0">
        <references count="2">
          <reference field="4294967294" count="1" selected="0">
            <x v="0"/>
          </reference>
          <reference field="0" count="1" selected="0">
            <x v="1"/>
          </reference>
        </references>
      </pivotArea>
    </chartFormat>
    <chartFormat chart="81" format="35" series="1">
      <pivotArea type="data" outline="0" fieldPosition="0">
        <references count="2">
          <reference field="4294967294" count="1" selected="0">
            <x v="0"/>
          </reference>
          <reference field="0" count="1" selected="0">
            <x v="2"/>
          </reference>
        </references>
      </pivotArea>
    </chartFormat>
    <chartFormat chart="81" format="36" series="1">
      <pivotArea type="data" outline="0" fieldPosition="0">
        <references count="2">
          <reference field="4294967294" count="1" selected="0">
            <x v="0"/>
          </reference>
          <reference field="0" count="1" selected="0">
            <x v="3"/>
          </reference>
        </references>
      </pivotArea>
    </chartFormat>
    <chartFormat chart="81" format="37" series="1">
      <pivotArea type="data" outline="0" fieldPosition="0">
        <references count="2">
          <reference field="4294967294" count="1" selected="0">
            <x v="0"/>
          </reference>
          <reference field="0" count="1" selected="0">
            <x v="5"/>
          </reference>
        </references>
      </pivotArea>
    </chartFormat>
    <chartFormat chart="81" format="38" series="1">
      <pivotArea type="data" outline="0" fieldPosition="0">
        <references count="2">
          <reference field="4294967294" count="1" selected="0">
            <x v="0"/>
          </reference>
          <reference field="0" count="1" selected="0">
            <x v="6"/>
          </reference>
        </references>
      </pivotArea>
    </chartFormat>
    <chartFormat chart="81" format="39" series="1">
      <pivotArea type="data" outline="0" fieldPosition="0">
        <references count="2">
          <reference field="4294967294" count="1" selected="0">
            <x v="0"/>
          </reference>
          <reference field="0" count="1" selected="0">
            <x v="7"/>
          </reference>
        </references>
      </pivotArea>
    </chartFormat>
    <chartFormat chart="81" format="40" series="1">
      <pivotArea type="data" outline="0" fieldPosition="0">
        <references count="2">
          <reference field="4294967294" count="1" selected="0">
            <x v="0"/>
          </reference>
          <reference field="0" count="1" selected="0">
            <x v="8"/>
          </reference>
        </references>
      </pivotArea>
    </chartFormat>
    <chartFormat chart="81" format="41" series="1">
      <pivotArea type="data" outline="0" fieldPosition="0">
        <references count="2">
          <reference field="4294967294" count="1" selected="0">
            <x v="0"/>
          </reference>
          <reference field="0" count="1" selected="0">
            <x v="9"/>
          </reference>
        </references>
      </pivotArea>
    </chartFormat>
    <chartFormat chart="81" format="42" series="1">
      <pivotArea type="data" outline="0" fieldPosition="0">
        <references count="2">
          <reference field="4294967294" count="1" selected="0">
            <x v="0"/>
          </reference>
          <reference field="0" count="1" selected="0">
            <x v="10"/>
          </reference>
        </references>
      </pivotArea>
    </chartFormat>
    <chartFormat chart="81" format="43" series="1">
      <pivotArea type="data" outline="0" fieldPosition="0">
        <references count="2">
          <reference field="4294967294" count="1" selected="0">
            <x v="0"/>
          </reference>
          <reference field="0" count="1" selected="0">
            <x v="11"/>
          </reference>
        </references>
      </pivotArea>
    </chartFormat>
    <chartFormat chart="81" format="44" series="1">
      <pivotArea type="data" outline="0" fieldPosition="0">
        <references count="2">
          <reference field="4294967294" count="1" selected="0">
            <x v="0"/>
          </reference>
          <reference field="0" count="1" selected="0">
            <x v="12"/>
          </reference>
        </references>
      </pivotArea>
    </chartFormat>
    <chartFormat chart="81" format="45" series="1">
      <pivotArea type="data" outline="0" fieldPosition="0">
        <references count="2">
          <reference field="4294967294" count="1" selected="0">
            <x v="0"/>
          </reference>
          <reference field="0" count="1" selected="0">
            <x v="13"/>
          </reference>
        </references>
      </pivotArea>
    </chartFormat>
    <chartFormat chart="81" format="46" series="1">
      <pivotArea type="data" outline="0" fieldPosition="0">
        <references count="2">
          <reference field="4294967294" count="1" selected="0">
            <x v="0"/>
          </reference>
          <reference field="0" count="1" selected="0">
            <x v="14"/>
          </reference>
        </references>
      </pivotArea>
    </chartFormat>
    <chartFormat chart="81" format="47" series="1">
      <pivotArea type="data" outline="0" fieldPosition="0">
        <references count="2">
          <reference field="4294967294" count="1" selected="0">
            <x v="0"/>
          </reference>
          <reference field="0" count="1" selected="0">
            <x v="15"/>
          </reference>
        </references>
      </pivotArea>
    </chartFormat>
    <chartFormat chart="81" format="48" series="1">
      <pivotArea type="data" outline="0" fieldPosition="0">
        <references count="2">
          <reference field="4294967294" count="1" selected="0">
            <x v="0"/>
          </reference>
          <reference field="0" count="1" selected="0">
            <x v="16"/>
          </reference>
        </references>
      </pivotArea>
    </chartFormat>
    <chartFormat chart="84" format="0" series="1">
      <pivotArea type="data" outline="0" fieldPosition="0">
        <references count="2">
          <reference field="4294967294" count="1" selected="0">
            <x v="0"/>
          </reference>
          <reference field="0" count="1" selected="0">
            <x v="0"/>
          </reference>
        </references>
      </pivotArea>
    </chartFormat>
    <chartFormat chart="84" format="1" series="1">
      <pivotArea type="data" outline="0" fieldPosition="0">
        <references count="2">
          <reference field="4294967294" count="1" selected="0">
            <x v="0"/>
          </reference>
          <reference field="0" count="1" selected="0">
            <x v="1"/>
          </reference>
        </references>
      </pivotArea>
    </chartFormat>
    <chartFormat chart="84" format="2" series="1">
      <pivotArea type="data" outline="0" fieldPosition="0">
        <references count="2">
          <reference field="4294967294" count="1" selected="0">
            <x v="0"/>
          </reference>
          <reference field="0" count="1" selected="0">
            <x v="2"/>
          </reference>
        </references>
      </pivotArea>
    </chartFormat>
    <chartFormat chart="84" format="3" series="1">
      <pivotArea type="data" outline="0" fieldPosition="0">
        <references count="2">
          <reference field="4294967294" count="1" selected="0">
            <x v="0"/>
          </reference>
          <reference field="0" count="1" selected="0">
            <x v="3"/>
          </reference>
        </references>
      </pivotArea>
    </chartFormat>
    <chartFormat chart="84" format="4" series="1">
      <pivotArea type="data" outline="0" fieldPosition="0">
        <references count="2">
          <reference field="4294967294" count="1" selected="0">
            <x v="0"/>
          </reference>
          <reference field="0" count="1" selected="0">
            <x v="5"/>
          </reference>
        </references>
      </pivotArea>
    </chartFormat>
    <chartFormat chart="84" format="5" series="1">
      <pivotArea type="data" outline="0" fieldPosition="0">
        <references count="2">
          <reference field="4294967294" count="1" selected="0">
            <x v="0"/>
          </reference>
          <reference field="0" count="1" selected="0">
            <x v="6"/>
          </reference>
        </references>
      </pivotArea>
    </chartFormat>
    <chartFormat chart="84" format="6" series="1">
      <pivotArea type="data" outline="0" fieldPosition="0">
        <references count="2">
          <reference field="4294967294" count="1" selected="0">
            <x v="0"/>
          </reference>
          <reference field="0" count="1" selected="0">
            <x v="7"/>
          </reference>
        </references>
      </pivotArea>
    </chartFormat>
    <chartFormat chart="84" format="7" series="1">
      <pivotArea type="data" outline="0" fieldPosition="0">
        <references count="2">
          <reference field="4294967294" count="1" selected="0">
            <x v="0"/>
          </reference>
          <reference field="0" count="1" selected="0">
            <x v="8"/>
          </reference>
        </references>
      </pivotArea>
    </chartFormat>
    <chartFormat chart="84" format="8" series="1">
      <pivotArea type="data" outline="0" fieldPosition="0">
        <references count="2">
          <reference field="4294967294" count="1" selected="0">
            <x v="0"/>
          </reference>
          <reference field="0" count="1" selected="0">
            <x v="9"/>
          </reference>
        </references>
      </pivotArea>
    </chartFormat>
    <chartFormat chart="84" format="9" series="1">
      <pivotArea type="data" outline="0" fieldPosition="0">
        <references count="2">
          <reference field="4294967294" count="1" selected="0">
            <x v="0"/>
          </reference>
          <reference field="0" count="1" selected="0">
            <x v="10"/>
          </reference>
        </references>
      </pivotArea>
    </chartFormat>
    <chartFormat chart="84" format="10" series="1">
      <pivotArea type="data" outline="0" fieldPosition="0">
        <references count="2">
          <reference field="4294967294" count="1" selected="0">
            <x v="0"/>
          </reference>
          <reference field="0" count="1" selected="0">
            <x v="11"/>
          </reference>
        </references>
      </pivotArea>
    </chartFormat>
    <chartFormat chart="84" format="11" series="1">
      <pivotArea type="data" outline="0" fieldPosition="0">
        <references count="2">
          <reference field="4294967294" count="1" selected="0">
            <x v="0"/>
          </reference>
          <reference field="0" count="1" selected="0">
            <x v="12"/>
          </reference>
        </references>
      </pivotArea>
    </chartFormat>
    <chartFormat chart="84" format="12" series="1">
      <pivotArea type="data" outline="0" fieldPosition="0">
        <references count="2">
          <reference field="4294967294" count="1" selected="0">
            <x v="0"/>
          </reference>
          <reference field="0" count="1" selected="0">
            <x v="13"/>
          </reference>
        </references>
      </pivotArea>
    </chartFormat>
    <chartFormat chart="84" format="13" series="1">
      <pivotArea type="data" outline="0" fieldPosition="0">
        <references count="2">
          <reference field="4294967294" count="1" selected="0">
            <x v="0"/>
          </reference>
          <reference field="0" count="1" selected="0">
            <x v="14"/>
          </reference>
        </references>
      </pivotArea>
    </chartFormat>
    <chartFormat chart="84" format="14" series="1">
      <pivotArea type="data" outline="0" fieldPosition="0">
        <references count="2">
          <reference field="4294967294" count="1" selected="0">
            <x v="0"/>
          </reference>
          <reference field="0" count="1" selected="0">
            <x v="15"/>
          </reference>
        </references>
      </pivotArea>
    </chartFormat>
    <chartFormat chart="84" format="15" series="1">
      <pivotArea type="data" outline="0" fieldPosition="0">
        <references count="2">
          <reference field="4294967294" count="1" selected="0">
            <x v="0"/>
          </reference>
          <reference field="0" count="1" selected="0">
            <x v="16"/>
          </reference>
        </references>
      </pivotArea>
    </chartFormat>
    <chartFormat chart="81" format="49" series="1">
      <pivotArea type="data" outline="0" fieldPosition="0">
        <references count="2">
          <reference field="4294967294" count="1" selected="0">
            <x v="0"/>
          </reference>
          <reference field="0" count="1" selected="0">
            <x v="4"/>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9FA37-E7DA-407B-93ED-2A28B706B5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B4:C22" firstHeaderRow="1" firstDataRow="1" firstDataCol="1"/>
  <pivotFields count="14">
    <pivotField axis="axisRow" showAll="0" sortType="ascending">
      <items count="18">
        <item x="0"/>
        <item x="1"/>
        <item x="8"/>
        <item x="2"/>
        <item x="3"/>
        <item x="4"/>
        <item x="5"/>
        <item x="6"/>
        <item x="7"/>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numFmtId="165" showAll="0"/>
    <pivotField numFmtId="4" showAll="0"/>
    <pivotField numFmtId="4" showAll="0"/>
    <pivotField numFmtId="4" showAll="0"/>
    <pivotField numFmtId="4" showAll="0"/>
    <pivotField numFmtId="165" showAll="0"/>
    <pivotField numFmtId="168" showAll="0"/>
    <pivotField numFmtId="164" showAll="0"/>
    <pivotField numFmtId="165" showAll="0"/>
    <pivotField dataField="1" numFmtId="167" showAll="0">
      <items count="171">
        <item x="17"/>
        <item x="119"/>
        <item x="85"/>
        <item x="0"/>
        <item x="51"/>
        <item x="34"/>
        <item x="102"/>
        <item x="68"/>
        <item x="153"/>
        <item x="136"/>
        <item x="126"/>
        <item x="134"/>
        <item x="128"/>
        <item x="32"/>
        <item x="100"/>
        <item x="92"/>
        <item x="15"/>
        <item x="66"/>
        <item x="125"/>
        <item x="109"/>
        <item x="24"/>
        <item x="131"/>
        <item x="94"/>
        <item x="143"/>
        <item x="23"/>
        <item x="130"/>
        <item x="26"/>
        <item x="160"/>
        <item x="117"/>
        <item x="58"/>
        <item x="111"/>
        <item x="27"/>
        <item x="91"/>
        <item x="162"/>
        <item x="83"/>
        <item x="75"/>
        <item x="60"/>
        <item x="145"/>
        <item x="168"/>
        <item x="29"/>
        <item x="49"/>
        <item x="135"/>
        <item x="97"/>
        <item x="133"/>
        <item x="7"/>
        <item x="132"/>
        <item x="57"/>
        <item x="129"/>
        <item x="151"/>
        <item x="108"/>
        <item x="77"/>
        <item x="96"/>
        <item x="30"/>
        <item x="9"/>
        <item x="121"/>
        <item x="113"/>
        <item x="28"/>
        <item x="10"/>
        <item x="20"/>
        <item x="33"/>
        <item x="41"/>
        <item x="63"/>
        <item x="6"/>
        <item x="122"/>
        <item x="147"/>
        <item x="95"/>
        <item x="31"/>
        <item x="61"/>
        <item x="142"/>
        <item x="98"/>
        <item x="114"/>
        <item x="101"/>
        <item x="99"/>
        <item x="74"/>
        <item x="165"/>
        <item x="14"/>
        <item x="43"/>
        <item x="159"/>
        <item x="62"/>
        <item x="164"/>
        <item x="64"/>
        <item x="148"/>
        <item x="79"/>
        <item x="88"/>
        <item x="112"/>
        <item x="67"/>
        <item x="12"/>
        <item x="11"/>
        <item x="40"/>
        <item x="65"/>
        <item x="116"/>
        <item x="80"/>
        <item x="13"/>
        <item x="78"/>
        <item x="54"/>
        <item x="87"/>
        <item x="123"/>
        <item x="44"/>
        <item x="124"/>
        <item x="104"/>
        <item x="82"/>
        <item x="115"/>
        <item x="16"/>
        <item x="118"/>
        <item x="45"/>
        <item x="167"/>
        <item x="169"/>
        <item x="155"/>
        <item x="138"/>
        <item x="48"/>
        <item x="19"/>
        <item x="46"/>
        <item x="146"/>
        <item x="166"/>
        <item x="150"/>
        <item x="3"/>
        <item x="105"/>
        <item x="81"/>
        <item x="84"/>
        <item x="120"/>
        <item x="152"/>
        <item x="53"/>
        <item x="149"/>
        <item x="47"/>
        <item x="70"/>
        <item x="163"/>
        <item x="89"/>
        <item x="71"/>
        <item x="106"/>
        <item x="50"/>
        <item x="21"/>
        <item x="2"/>
        <item x="139"/>
        <item x="107"/>
        <item x="156"/>
        <item x="90"/>
        <item x="141"/>
        <item x="140"/>
        <item x="37"/>
        <item x="18"/>
        <item x="86"/>
        <item x="158"/>
        <item x="36"/>
        <item x="55"/>
        <item x="22"/>
        <item x="157"/>
        <item x="4"/>
        <item x="72"/>
        <item x="127"/>
        <item x="73"/>
        <item x="56"/>
        <item x="52"/>
        <item x="5"/>
        <item x="103"/>
        <item x="38"/>
        <item x="154"/>
        <item x="137"/>
        <item x="39"/>
        <item x="144"/>
        <item x="110"/>
        <item x="1"/>
        <item x="69"/>
        <item x="161"/>
        <item x="93"/>
        <item x="35"/>
        <item x="76"/>
        <item x="25"/>
        <item x="59"/>
        <item x="8"/>
        <item x="42"/>
        <item t="default"/>
      </items>
    </pivotField>
  </pivotFields>
  <rowFields count="1">
    <field x="0"/>
  </rowFields>
  <rowItems count="18">
    <i>
      <x/>
    </i>
    <i>
      <x v="15"/>
    </i>
    <i>
      <x v="8"/>
    </i>
    <i>
      <x v="9"/>
    </i>
    <i>
      <x v="7"/>
    </i>
    <i>
      <x v="12"/>
    </i>
    <i>
      <x v="11"/>
    </i>
    <i>
      <x v="10"/>
    </i>
    <i>
      <x v="14"/>
    </i>
    <i>
      <x v="13"/>
    </i>
    <i>
      <x v="16"/>
    </i>
    <i>
      <x v="4"/>
    </i>
    <i>
      <x v="3"/>
    </i>
    <i>
      <x v="5"/>
    </i>
    <i>
      <x v="6"/>
    </i>
    <i>
      <x v="1"/>
    </i>
    <i>
      <x v="2"/>
    </i>
    <i t="grand">
      <x/>
    </i>
  </rowItems>
  <colItems count="1">
    <i/>
  </colItems>
  <dataFields count="1">
    <dataField name="Average of HDI" fld="13" subtotal="average" baseField="0" baseItem="8" numFmtId="165"/>
  </dataFields>
  <formats count="59">
    <format dxfId="125">
      <pivotArea type="all" dataOnly="0" outline="0" fieldPosition="0"/>
    </format>
    <format dxfId="124">
      <pivotArea type="all" dataOnly="0" outline="0" fieldPosition="0"/>
    </format>
    <format dxfId="123">
      <pivotArea type="all" dataOnly="0" outline="0" fieldPosition="0"/>
    </format>
    <format dxfId="122">
      <pivotArea outline="0" collapsedLevelsAreSubtotals="1" fieldPosition="0"/>
    </format>
    <format dxfId="121">
      <pivotArea type="origin" dataOnly="0" labelOnly="1" outline="0" offset="A1" fieldPosition="0"/>
    </format>
    <format dxfId="120">
      <pivotArea dataOnly="0" labelOnly="1" outline="0" axis="axisValues" fieldPosition="0"/>
    </format>
    <format dxfId="119">
      <pivotArea field="0" type="button" dataOnly="0" labelOnly="1" outline="0" axis="axisRow" fieldPosition="0"/>
    </format>
    <format dxfId="118">
      <pivotArea type="topRight" dataOnly="0" labelOnly="1" outline="0" fieldPosition="0"/>
    </format>
    <format dxfId="117">
      <pivotArea type="origin" dataOnly="0" labelOnly="1" outline="0" offset="A2" fieldPosition="0"/>
    </format>
    <format dxfId="116">
      <pivotArea dataOnly="0" labelOnly="1" grandCol="1" outline="0"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dataOnly="0" labelOnly="1" outline="0" axis="axisValues" fieldPosition="0"/>
    </format>
    <format dxfId="111">
      <pivotArea field="0" type="button" dataOnly="0" labelOnly="1" outline="0" axis="axisRow" fieldPosition="0"/>
    </format>
    <format dxfId="110">
      <pivotArea type="topRight" dataOnly="0" labelOnly="1" outline="0" fieldPosition="0"/>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fieldPosition="0">
        <references count="1">
          <reference field="0" count="0"/>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 dxfId="97">
      <pivotArea outline="0" fieldPosition="0">
        <references count="1">
          <reference field="4294967294" count="1">
            <x v="0"/>
          </reference>
        </references>
      </pivotArea>
    </format>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outline="0" axis="axisValues" fieldPosition="0"/>
    </format>
  </formats>
  <chartFormats count="30">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4"/>
          </reference>
        </references>
      </pivotArea>
    </chartFormat>
    <chartFormat chart="5" format="5" series="1">
      <pivotArea type="data" outline="0" fieldPosition="0">
        <references count="2">
          <reference field="4294967294" count="1" selected="0">
            <x v="0"/>
          </reference>
          <reference field="0" count="1" selected="0">
            <x v="5"/>
          </reference>
        </references>
      </pivotArea>
    </chartFormat>
    <chartFormat chart="5" format="6" series="1">
      <pivotArea type="data" outline="0" fieldPosition="0">
        <references count="2">
          <reference field="4294967294" count="1" selected="0">
            <x v="0"/>
          </reference>
          <reference field="0" count="1" selected="0">
            <x v="6"/>
          </reference>
        </references>
      </pivotArea>
    </chartFormat>
    <chartFormat chart="5" format="7" series="1">
      <pivotArea type="data" outline="0" fieldPosition="0">
        <references count="2">
          <reference field="4294967294" count="1" selected="0">
            <x v="0"/>
          </reference>
          <reference field="0" count="1" selected="0">
            <x v="7"/>
          </reference>
        </references>
      </pivotArea>
    </chartFormat>
    <chartFormat chart="5" format="8" series="1">
      <pivotArea type="data" outline="0" fieldPosition="0">
        <references count="2">
          <reference field="4294967294" count="1" selected="0">
            <x v="0"/>
          </reference>
          <reference field="0" count="1" selected="0">
            <x v="8"/>
          </reference>
        </references>
      </pivotArea>
    </chartFormat>
    <chartFormat chart="5" format="9" series="1">
      <pivotArea type="data" outline="0" fieldPosition="0">
        <references count="2">
          <reference field="4294967294" count="1" selected="0">
            <x v="0"/>
          </reference>
          <reference field="0" count="1" selected="0">
            <x v="9"/>
          </reference>
        </references>
      </pivotArea>
    </chartFormat>
    <chartFormat chart="5" format="10" series="1">
      <pivotArea type="data" outline="0" fieldPosition="0">
        <references count="2">
          <reference field="4294967294" count="1" selected="0">
            <x v="0"/>
          </reference>
          <reference field="0" count="1" selected="0">
            <x v="10"/>
          </reference>
        </references>
      </pivotArea>
    </chartFormat>
    <chartFormat chart="5" format="11" series="1">
      <pivotArea type="data" outline="0" fieldPosition="0">
        <references count="2">
          <reference field="4294967294" count="1" selected="0">
            <x v="0"/>
          </reference>
          <reference field="0" count="1" selected="0">
            <x v="11"/>
          </reference>
        </references>
      </pivotArea>
    </chartFormat>
    <chartFormat chart="5" format="12" series="1">
      <pivotArea type="data" outline="0" fieldPosition="0">
        <references count="2">
          <reference field="4294967294" count="1" selected="0">
            <x v="0"/>
          </reference>
          <reference field="0" count="1" selected="0">
            <x v="12"/>
          </reference>
        </references>
      </pivotArea>
    </chartFormat>
    <chartFormat chart="5" format="13" series="1">
      <pivotArea type="data" outline="0" fieldPosition="0">
        <references count="2">
          <reference field="4294967294" count="1" selected="0">
            <x v="0"/>
          </reference>
          <reference field="0" count="1" selected="0">
            <x v="13"/>
          </reference>
        </references>
      </pivotArea>
    </chartFormat>
    <chartFormat chart="5" format="14" series="1">
      <pivotArea type="data" outline="0" fieldPosition="0">
        <references count="2">
          <reference field="4294967294" count="1" selected="0">
            <x v="0"/>
          </reference>
          <reference field="0" count="1" selected="0">
            <x v="14"/>
          </reference>
        </references>
      </pivotArea>
    </chartFormat>
    <chartFormat chart="5" format="15" series="1">
      <pivotArea type="data" outline="0" fieldPosition="0">
        <references count="2">
          <reference field="4294967294" count="1" selected="0">
            <x v="0"/>
          </reference>
          <reference field="0" count="1" selected="0">
            <x v="15"/>
          </reference>
        </references>
      </pivotArea>
    </chartFormat>
    <chartFormat chart="5" format="16" series="1">
      <pivotArea type="data" outline="0" fieldPosition="0">
        <references count="2">
          <reference field="4294967294" count="1" selected="0">
            <x v="0"/>
          </reference>
          <reference field="0" count="1" selected="0">
            <x v="16"/>
          </reference>
        </references>
      </pivotArea>
    </chartFormat>
    <chartFormat chart="5" format="1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0" count="1" selected="0">
            <x v="13"/>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0" count="1" selected="0">
            <x v="13"/>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0" count="1" selected="0">
            <x v="13"/>
          </reference>
        </references>
      </pivotArea>
    </chartFormat>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0" count="1" selected="0">
            <x v="13"/>
          </reference>
        </references>
      </pivotArea>
    </chartFormat>
    <chartFormat chart="54" format="8" series="1">
      <pivotArea type="data" outline="0" fieldPosition="0">
        <references count="1">
          <reference field="4294967294" count="1" selected="0">
            <x v="0"/>
          </reference>
        </references>
      </pivotArea>
    </chartFormat>
    <chartFormat chart="54" format="9">
      <pivotArea type="data" outline="0" fieldPosition="0">
        <references count="2">
          <reference field="4294967294" count="1" selected="0">
            <x v="0"/>
          </reference>
          <reference field="0" count="1" selected="0">
            <x v="13"/>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2DED55-FF08-42EE-8453-37C3954851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33:I52" firstHeaderRow="1" firstDataRow="2" firstDataCol="1"/>
  <pivotFields count="14">
    <pivotField axis="axisRow" showAll="0">
      <items count="18">
        <item x="0"/>
        <item x="1"/>
        <item x="8"/>
        <item x="2"/>
        <item x="3"/>
        <item x="4"/>
        <item x="5"/>
        <item x="6"/>
        <item x="7"/>
        <item x="9"/>
        <item x="10"/>
        <item x="11"/>
        <item x="12"/>
        <item x="13"/>
        <item x="14"/>
        <item x="15"/>
        <item x="16"/>
        <item t="default"/>
      </items>
    </pivotField>
    <pivotField showAll="0">
      <items count="6">
        <item x="0"/>
        <item h="1" x="1"/>
        <item h="1" x="2"/>
        <item h="1" x="3"/>
        <item h="1" x="4"/>
        <item t="default"/>
      </items>
    </pivotField>
    <pivotField axis="axisCol" showAll="0">
      <items count="3">
        <item x="0"/>
        <item x="1"/>
        <item t="default"/>
      </items>
    </pivotField>
    <pivotField showAll="0"/>
    <pivotField numFmtId="165" showAll="0"/>
    <pivotField numFmtId="4" showAll="0"/>
    <pivotField numFmtId="4" showAll="0"/>
    <pivotField numFmtId="4" showAll="0"/>
    <pivotField numFmtId="4" showAll="0"/>
    <pivotField numFmtId="165" showAll="0"/>
    <pivotField numFmtId="168" showAll="0"/>
    <pivotField numFmtId="164" showAll="0"/>
    <pivotField numFmtId="165" showAll="0"/>
    <pivotField dataField="1" numFmtId="167"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3">
    <i>
      <x/>
    </i>
    <i>
      <x v="1"/>
    </i>
    <i t="grand">
      <x/>
    </i>
  </colItems>
  <dataFields count="1">
    <dataField name="Average of HDI" fld="13" subtotal="average" baseField="0" baseItem="0" numFmtId="165"/>
  </dataFields>
  <formats count="10">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2" type="button" dataOnly="0" labelOnly="1" outline="0" axis="axisCol" fieldPosition="0"/>
    </format>
    <format dxfId="131">
      <pivotArea type="topRight" dataOnly="0" labelOnly="1" outline="0"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fieldPosition="0">
        <references count="1">
          <reference field="2" count="0"/>
        </references>
      </pivotArea>
    </format>
    <format dxfId="126">
      <pivotArea dataOnly="0" labelOnly="1" grandCol="1" outline="0" fieldPosition="0"/>
    </format>
  </formats>
  <chartFormats count="2">
    <chartFormat chart="15" format="4" series="1">
      <pivotArea type="data" outline="0" fieldPosition="0">
        <references count="2">
          <reference field="4294967294" count="1" selected="0">
            <x v="0"/>
          </reference>
          <reference field="2" count="1" selected="0">
            <x v="0"/>
          </reference>
        </references>
      </pivotArea>
    </chartFormat>
    <chartFormat chart="15" format="5" series="1">
      <pivotArea type="data" outline="0" fieldPosition="0">
        <references count="2">
          <reference field="4294967294" count="1" selected="0">
            <x v="0"/>
          </reference>
          <reference field="2"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75622C-C958-445A-9354-49D3977A6E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4:K10" firstHeaderRow="1" firstDataRow="1" firstDataCol="1"/>
  <pivotFields count="14">
    <pivotField showAll="0"/>
    <pivotField axis="axisRow" showAll="0">
      <items count="6">
        <item x="0"/>
        <item x="1"/>
        <item x="2"/>
        <item x="3"/>
        <item x="4"/>
        <item t="default"/>
      </items>
    </pivotField>
    <pivotField showAll="0"/>
    <pivotField showAll="0"/>
    <pivotField numFmtId="165" showAll="0"/>
    <pivotField numFmtId="4" showAll="0"/>
    <pivotField numFmtId="4" showAll="0"/>
    <pivotField numFmtId="4" showAll="0"/>
    <pivotField numFmtId="4" showAll="0"/>
    <pivotField numFmtId="165" showAll="0"/>
    <pivotField numFmtId="168" showAll="0"/>
    <pivotField numFmtId="164" showAll="0"/>
    <pivotField numFmtId="165" showAll="0"/>
    <pivotField dataField="1" numFmtId="167" showAll="0"/>
  </pivotFields>
  <rowFields count="1">
    <field x="1"/>
  </rowFields>
  <rowItems count="6">
    <i>
      <x/>
    </i>
    <i>
      <x v="1"/>
    </i>
    <i>
      <x v="2"/>
    </i>
    <i>
      <x v="3"/>
    </i>
    <i>
      <x v="4"/>
    </i>
    <i t="grand">
      <x/>
    </i>
  </rowItems>
  <colItems count="1">
    <i/>
  </colItems>
  <dataFields count="1">
    <dataField name="Average of HDI" fld="13" subtotal="average" baseField="1" baseItem="2" numFmtId="165"/>
  </dataFields>
  <formats count="6">
    <format dxfId="141">
      <pivotArea type="all" dataOnly="0" outline="0" fieldPosition="0"/>
    </format>
    <format dxfId="140">
      <pivotArea outline="0" collapsedLevelsAreSubtotals="1" fieldPosition="0"/>
    </format>
    <format dxfId="139">
      <pivotArea field="1" type="button" dataOnly="0" labelOnly="1" outline="0" axis="axisRow" fieldPosition="0"/>
    </format>
    <format dxfId="138">
      <pivotArea dataOnly="0" labelOnly="1" fieldPosition="0">
        <references count="1">
          <reference field="1" count="0"/>
        </references>
      </pivotArea>
    </format>
    <format dxfId="137">
      <pivotArea dataOnly="0" labelOnly="1" grandRow="1" outline="0" fieldPosition="0"/>
    </format>
    <format dxfId="136">
      <pivotArea dataOnly="0" labelOnly="1" outline="0" axis="axisValues" fieldPosition="0"/>
    </format>
  </formats>
  <chartFormats count="6">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1" count="1" selected="0">
            <x v="0"/>
          </reference>
        </references>
      </pivotArea>
    </chartFormat>
    <chartFormat chart="12" format="15">
      <pivotArea type="data" outline="0" fieldPosition="0">
        <references count="2">
          <reference field="4294967294" count="1" selected="0">
            <x v="0"/>
          </reference>
          <reference field="1" count="1" selected="0">
            <x v="1"/>
          </reference>
        </references>
      </pivotArea>
    </chartFormat>
    <chartFormat chart="12" format="16">
      <pivotArea type="data" outline="0" fieldPosition="0">
        <references count="2">
          <reference field="4294967294" count="1" selected="0">
            <x v="0"/>
          </reference>
          <reference field="1" count="1" selected="0">
            <x v="2"/>
          </reference>
        </references>
      </pivotArea>
    </chartFormat>
    <chartFormat chart="12" format="17">
      <pivotArea type="data" outline="0" fieldPosition="0">
        <references count="2">
          <reference field="4294967294" count="1" selected="0">
            <x v="0"/>
          </reference>
          <reference field="1" count="1" selected="0">
            <x v="3"/>
          </reference>
        </references>
      </pivotArea>
    </chartFormat>
    <chartFormat chart="12" format="18">
      <pivotArea type="data" outline="0" fieldPosition="0">
        <references count="2">
          <reference field="4294967294" count="1" selected="0">
            <x v="0"/>
          </reference>
          <reference field="1" count="1" selected="0">
            <x v="4"/>
          </reference>
        </references>
      </pivotArea>
    </chartFormat>
  </chart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15EB6A-63D6-40A6-8EAB-ABDF9B827498}" sourceName="Region">
  <pivotTables>
    <pivotTable tabId="10" name="PivotTable2"/>
  </pivotTables>
  <data>
    <tabular pivotCacheId="1771038191">
      <items count="17">
        <i x="0" s="1"/>
        <i x="1" s="1"/>
        <i x="8" s="1"/>
        <i x="2" s="1"/>
        <i x="3" s="1"/>
        <i x="4" s="1"/>
        <i x="5" s="1"/>
        <i x="6" s="1"/>
        <i x="7"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F61866-B99C-499E-9536-8E755751E445}" sourceName="Year">
  <pivotTables>
    <pivotTable tabId="10" name="PivotTable9"/>
  </pivotTables>
  <data>
    <tabular pivotCacheId="1771038191">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35147A8-3D00-42C0-AB99-0A03D99B1EA1}" cache="Slicer_Region" caption="Region" columnCount="2" style="SlicerStyleLight2 2" rowHeight="274320"/>
  <slicer name="Year" xr10:uid="{534871B5-1281-4F6B-BBE1-646A902D2F04}" cache="Slicer_Year" caption="Year" columnCount="5" showCaption="0" style="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17C2EB-77ED-495D-A0AD-953322F7065C}" name="exchange_rates" displayName="exchange_rates" ref="Q3:R8" totalsRowShown="0" headerRowDxfId="40" dataDxfId="39">
  <autoFilter ref="Q3:R8" xr:uid="{6F17C2EB-77ED-495D-A0AD-953322F7065C}"/>
  <tableColumns count="2">
    <tableColumn id="1" xr3:uid="{F05BEB24-D61B-448A-920A-4AA72577B914}" name="Year" dataDxfId="38"/>
    <tableColumn id="2" xr3:uid="{6AFCD54F-684B-4992-9BE6-C9E1DF9B42B6}" name="USD to PHP" dataDxfId="37"/>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6A8444-F19A-4305-90C0-450FFA1E1FDD}" name="hdi_data" displayName="hdi_data" ref="B3:O173" totalsRowShown="0" dataDxfId="36" tableBorderDxfId="35">
  <autoFilter ref="B3:O173" xr:uid="{DD6A8444-F19A-4305-90C0-450FFA1E1FDD}"/>
  <sortState xmlns:xlrd2="http://schemas.microsoft.com/office/spreadsheetml/2017/richdata2" ref="B5:O173">
    <sortCondition ref="O3:O173"/>
  </sortState>
  <tableColumns count="14">
    <tableColumn id="1" xr3:uid="{DF4EE61A-44F7-415A-AF72-F6BC55E256C3}" name="Region" dataDxfId="34"/>
    <tableColumn id="2" xr3:uid="{732E30FD-E81D-487B-B0D2-0CB9361814E0}" name="Year" dataDxfId="33"/>
    <tableColumn id="3" xr3:uid="{E86FA3FF-5C0F-4077-BDD5-96D387976A78}" name="Sex" dataDxfId="32"/>
    <tableColumn id="4" xr3:uid="{613F76C8-667B-46A1-9D3A-1889BA128731}" name="Life _x000a_Expectancy " dataDxfId="31"/>
    <tableColumn id="5" xr3:uid="{A931B1FB-817A-46E0-8B8F-13B826A47CE0}" name="Health _x000a_Index" dataDxfId="30">
      <calculatedColumnFormula>(Data!$E4-20)/65</calculatedColumnFormula>
    </tableColumn>
    <tableColumn id="6" xr3:uid="{11507690-C216-46E4-9709-1585812DFB31}" name="Expected _x000a_Schooling " dataDxfId="29"/>
    <tableColumn id="7" xr3:uid="{E7838CF5-2E32-43D3-9197-45448808399A}" name="Expected Schooling _x000a_Index" dataDxfId="28">
      <calculatedColumnFormula>Data!$G4/18</calculatedColumnFormula>
    </tableColumn>
    <tableColumn id="8" xr3:uid="{5CE3729E-06FA-46A0-A01E-DCEA4A66A580}" name="Mean _x000a_Schooling " dataDxfId="27"/>
    <tableColumn id="9" xr3:uid="{3116D504-E760-45AE-A0BA-1597C8BEC747}" name="Mean _x000a_Schooling _x000a_Index" dataDxfId="26">
      <calculatedColumnFormula>Data!$I4/15</calculatedColumnFormula>
    </tableColumn>
    <tableColumn id="10" xr3:uid="{07C15A5D-95EA-4AE0-B72D-A6F3702CC40C}" name="Education _x000a_Index" dataDxfId="25">
      <calculatedColumnFormula>(Data!$H4+Data!$J4)/2</calculatedColumnFormula>
    </tableColumn>
    <tableColumn id="11" xr3:uid="{948CD806-E020-4260-91C1-537C22F23EB4}" name="GNI per capita _x000a_(PHP)" dataDxfId="24"/>
    <tableColumn id="12" xr3:uid="{1D5EA9BF-42F3-4D07-8898-40F8DE1C4ADA}" name="GNI per capita _x000a_(USD)" dataDxfId="23">
      <calculatedColumnFormula>L4/VLOOKUP(C4, exchange_rates[], 2, FALSE)</calculatedColumnFormula>
    </tableColumn>
    <tableColumn id="13" xr3:uid="{7FD8081D-CA44-4D06-B7FA-D5103D333080}" name="Income _x000a_Index" dataDxfId="22">
      <calculatedColumnFormula>( LN( Data!$M4 ) - LN(100) ) / ( LN(75000) - LN(100) )</calculatedColumnFormula>
    </tableColumn>
    <tableColumn id="14" xr3:uid="{47F700C8-08A9-47D9-83CB-AD4E82CFCA14}" name="HDI" dataDxfId="21">
      <calculatedColumnFormula>POWER((Data!$F4*Data!$K4*Data!$N4), 1/3)</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587B0F-2FB8-40CD-B4BF-DFF43AC4F340}" name="HDI_Data5" displayName="HDI_Data5" ref="A1:N171" headerRowDxfId="20" dataDxfId="19" totalsRowDxfId="18">
  <autoFilter ref="A1:N171" xr:uid="{00000000-0009-0000-0100-000001000000}"/>
  <tableColumns count="14">
    <tableColumn id="1" xr3:uid="{F23BBA48-8D37-4FE7-8DAA-E5B4623E44A3}" name="Region" dataDxfId="17"/>
    <tableColumn id="2" xr3:uid="{9D05077E-A876-41E8-B72C-93646CB4D2FB}" name="Year" dataDxfId="16"/>
    <tableColumn id="3" xr3:uid="{C68BFB00-A4E0-491B-B016-C464C59465F6}" name="SEX" dataDxfId="15"/>
    <tableColumn id="4" xr3:uid="{60ABBDCE-66AE-4D11-9050-8680D3D99835}" name="Life Expectancy " dataDxfId="14"/>
    <tableColumn id="5" xr3:uid="{0748E362-43E7-48F1-AE8E-A08FCFD3409E}" name="Expected Schooling " dataDxfId="13"/>
    <tableColumn id="6" xr3:uid="{82CE494F-B8B6-4318-B79A-19711BF9C6B2}" name="Mean schooling " dataDxfId="12"/>
    <tableColumn id="7" xr3:uid="{9A14994A-5F74-4911-8A58-94A3F90C262C}" name="GNI per capita (PHP)" dataDxfId="11"/>
    <tableColumn id="8" xr3:uid="{19620BF5-4D2F-4C16-B6CC-945BAEEE91AF}" name="GNI per capita (USD)" dataDxfId="10">
      <calculatedColumnFormula>G2/VLOOKUP(B2, exchange_rates6[], 2, FALSE)</calculatedColumnFormula>
    </tableColumn>
    <tableColumn id="10" xr3:uid="{F2F6CD89-F6A9-453F-926F-0DEE900AF243}" name="EYSI" dataDxfId="9">
      <calculatedColumnFormula>HDI_Data5[[#This Row],[Expected Schooling ]]/18</calculatedColumnFormula>
    </tableColumn>
    <tableColumn id="11" xr3:uid="{A4DFB77E-FFAB-472A-89AC-FAA532946F02}" name="MYSI" dataDxfId="8">
      <calculatedColumnFormula>HDI_Data5[[#This Row],[Mean schooling ]]/15</calculatedColumnFormula>
    </tableColumn>
    <tableColumn id="9" xr3:uid="{21A923F9-422A-445B-9C5D-8DBC87BF8AE1}" name="Health Index" dataDxfId="7">
      <calculatedColumnFormula>(HDI_Data5[[#This Row],[Life Expectancy ]]-20)/65</calculatedColumnFormula>
    </tableColumn>
    <tableColumn id="12" xr3:uid="{D1365BE0-1734-4840-B084-4CAD0FA012FF}" name="Education Index" dataDxfId="6">
      <calculatedColumnFormula>(HDI_Data5[[#This Row],[EYSI]]+HDI_Data5[[#This Row],[MYSI]])/2</calculatedColumnFormula>
    </tableColumn>
    <tableColumn id="13" xr3:uid="{1B7A7533-3BEC-4E3C-B501-D071342A9E11}" name="Income Index" dataDxfId="5">
      <calculatedColumnFormula>( LN( HDI_Data5[[#This Row],[GNI per capita (USD)]] ) - LN(100) ) / ( LN(75000) - LN(100) )</calculatedColumnFormula>
    </tableColumn>
    <tableColumn id="14" xr3:uid="{E6E2FC5C-70A9-40C2-8C28-412709FCEB8E}" name="HDI" dataDxfId="4">
      <calculatedColumnFormula>POWER((HDI_Data5[[#This Row],[Health Index]]*HDI_Data5[[#This Row],[Education Index]]*HDI_Data5[[#This Row],[Income Index]]), 1/3)</calculatedColumnFormula>
    </tableColumn>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9C1A06-369F-43D4-A955-1A7F2B0832DF}" name="exchange_rates6" displayName="exchange_rates6" ref="P1:Q6" totalsRowShown="0" headerRowDxfId="3" dataDxfId="2">
  <autoFilter ref="P1:Q6" xr:uid="{6F17C2EB-77ED-495D-A0AD-953322F7065C}"/>
  <tableColumns count="2">
    <tableColumn id="1" xr3:uid="{D503CFC0-6C97-408C-BD78-844012A4A042}" name="Year" dataDxfId="1"/>
    <tableColumn id="2" xr3:uid="{D554D2C4-E438-4A11-AA45-7EB2002D3F8E}" name="PHP per USD"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C00000"/>
  </sheetPr>
  <dimension ref="A1:A16"/>
  <sheetViews>
    <sheetView workbookViewId="0">
      <selection activeCell="B8" sqref="B8"/>
    </sheetView>
  </sheetViews>
  <sheetFormatPr defaultColWidth="9.109375" defaultRowHeight="22.8" x14ac:dyDescent="0.4"/>
  <cols>
    <col min="1" max="1" width="166.44140625" style="1" bestFit="1"/>
    <col min="2" max="16384" width="9.109375" style="1"/>
  </cols>
  <sheetData>
    <row r="1" spans="1:1" x14ac:dyDescent="0.4">
      <c r="A1" s="26" t="s">
        <v>0</v>
      </c>
    </row>
    <row r="2" spans="1:1" x14ac:dyDescent="0.4">
      <c r="A2" s="2" t="s">
        <v>1</v>
      </c>
    </row>
    <row r="3" spans="1:1" x14ac:dyDescent="0.4">
      <c r="A3" s="2"/>
    </row>
    <row r="4" spans="1:1" x14ac:dyDescent="0.4">
      <c r="A4" s="3" t="s">
        <v>2</v>
      </c>
    </row>
    <row r="5" spans="1:1" x14ac:dyDescent="0.4">
      <c r="A5" s="3" t="s">
        <v>3</v>
      </c>
    </row>
    <row r="6" spans="1:1" x14ac:dyDescent="0.4">
      <c r="A6" s="3" t="s">
        <v>4</v>
      </c>
    </row>
    <row r="7" spans="1:1" x14ac:dyDescent="0.4">
      <c r="A7" s="3" t="s">
        <v>5</v>
      </c>
    </row>
    <row r="8" spans="1:1" x14ac:dyDescent="0.4">
      <c r="A8" s="3" t="s">
        <v>6</v>
      </c>
    </row>
    <row r="9" spans="1:1" x14ac:dyDescent="0.4">
      <c r="A9" s="3" t="s">
        <v>7</v>
      </c>
    </row>
    <row r="10" spans="1:1" x14ac:dyDescent="0.4">
      <c r="A10" s="3" t="s">
        <v>8</v>
      </c>
    </row>
    <row r="12" spans="1:1" x14ac:dyDescent="0.4">
      <c r="A12" s="26" t="s">
        <v>9</v>
      </c>
    </row>
    <row r="13" spans="1:1" x14ac:dyDescent="0.4">
      <c r="A13" s="1" t="s">
        <v>10</v>
      </c>
    </row>
    <row r="14" spans="1:1" x14ac:dyDescent="0.4">
      <c r="A14" s="1" t="s">
        <v>11</v>
      </c>
    </row>
    <row r="15" spans="1:1" x14ac:dyDescent="0.4">
      <c r="A15" s="1" t="s">
        <v>12</v>
      </c>
    </row>
    <row r="16" spans="1:1" x14ac:dyDescent="0.4">
      <c r="A16" s="1" t="s">
        <v>13</v>
      </c>
    </row>
  </sheetData>
  <pageMargins left="0.70078740157480324" right="0.70078740157480324" top="0.75196850393700787" bottom="0.75196850393700787"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I171"/>
  <sheetViews>
    <sheetView workbookViewId="0">
      <selection activeCell="G6" sqref="G6"/>
    </sheetView>
  </sheetViews>
  <sheetFormatPr defaultRowHeight="14.4" x14ac:dyDescent="0.3"/>
  <cols>
    <col min="1" max="1" width="10.109375" bestFit="1" customWidth="1"/>
    <col min="2" max="2" width="7.109375" bestFit="1"/>
    <col min="3" max="3" width="6.88671875" bestFit="1"/>
    <col min="4" max="4" width="17" bestFit="1"/>
    <col min="5" max="5" width="20.5546875" bestFit="1"/>
    <col min="6" max="6" width="17.5546875" bestFit="1"/>
    <col min="7" max="7" width="39.77734375" bestFit="1" customWidth="1"/>
    <col min="9" max="9" width="64.5546875" bestFit="1" customWidth="1"/>
  </cols>
  <sheetData>
    <row r="1" spans="1:9" x14ac:dyDescent="0.3">
      <c r="A1" s="4" t="s">
        <v>33</v>
      </c>
      <c r="B1" s="5" t="s">
        <v>34</v>
      </c>
      <c r="C1" s="5" t="s">
        <v>35</v>
      </c>
      <c r="D1" s="5" t="s">
        <v>36</v>
      </c>
      <c r="E1" s="5" t="s">
        <v>37</v>
      </c>
      <c r="F1" s="5" t="s">
        <v>38</v>
      </c>
      <c r="G1" s="6" t="s">
        <v>39</v>
      </c>
    </row>
    <row r="2" spans="1:9" x14ac:dyDescent="0.3">
      <c r="A2" s="7" t="s">
        <v>16</v>
      </c>
      <c r="B2" s="8">
        <v>2018</v>
      </c>
      <c r="C2" s="8" t="s">
        <v>14</v>
      </c>
      <c r="D2" s="8">
        <v>69.31</v>
      </c>
      <c r="E2" s="8">
        <v>11.96</v>
      </c>
      <c r="F2" s="8">
        <v>6.2350000000000003</v>
      </c>
      <c r="G2" s="9">
        <v>174182.02534571226</v>
      </c>
    </row>
    <row r="3" spans="1:9" x14ac:dyDescent="0.3">
      <c r="A3" s="7" t="s">
        <v>17</v>
      </c>
      <c r="B3" s="8">
        <v>2018</v>
      </c>
      <c r="C3" s="8" t="s">
        <v>14</v>
      </c>
      <c r="D3" s="8">
        <v>76.569999999999993</v>
      </c>
      <c r="E3" s="8">
        <v>14.16</v>
      </c>
      <c r="F3" s="8">
        <v>9.5389999999999997</v>
      </c>
      <c r="G3" s="9">
        <v>409976.92395836528</v>
      </c>
    </row>
    <row r="4" spans="1:9" x14ac:dyDescent="0.3">
      <c r="A4" s="7" t="s">
        <v>19</v>
      </c>
      <c r="B4" s="8">
        <v>2018</v>
      </c>
      <c r="C4" s="8" t="s">
        <v>14</v>
      </c>
      <c r="D4" s="8">
        <v>72.739999999999995</v>
      </c>
      <c r="E4" s="8">
        <v>13.16</v>
      </c>
      <c r="F4" s="8">
        <v>9.2989999999999995</v>
      </c>
      <c r="G4" s="9">
        <v>430996.89033858007</v>
      </c>
    </row>
    <row r="5" spans="1:9" x14ac:dyDescent="0.3">
      <c r="A5" s="7" t="s">
        <v>20</v>
      </c>
      <c r="B5" s="8">
        <v>2018</v>
      </c>
      <c r="C5" s="8" t="s">
        <v>14</v>
      </c>
      <c r="D5" s="8">
        <v>74.63</v>
      </c>
      <c r="E5" s="8">
        <v>13.65</v>
      </c>
      <c r="F5" s="8">
        <v>8.4090000000000007</v>
      </c>
      <c r="G5" s="9">
        <v>356773.41024966637</v>
      </c>
    </row>
    <row r="6" spans="1:9" x14ac:dyDescent="0.3">
      <c r="A6" s="7" t="s">
        <v>21</v>
      </c>
      <c r="B6" s="8">
        <v>2018</v>
      </c>
      <c r="C6" s="8" t="s">
        <v>14</v>
      </c>
      <c r="D6" s="8">
        <v>74.959999999999994</v>
      </c>
      <c r="E6" s="8">
        <v>12.85</v>
      </c>
      <c r="F6" s="8">
        <v>9.0020000000000007</v>
      </c>
      <c r="G6" s="9">
        <v>484007.72875249427</v>
      </c>
      <c r="I6" s="14" t="s">
        <v>47</v>
      </c>
    </row>
    <row r="7" spans="1:9" x14ac:dyDescent="0.3">
      <c r="A7" s="7" t="s">
        <v>22</v>
      </c>
      <c r="B7" s="8">
        <v>2018</v>
      </c>
      <c r="C7" s="8" t="s">
        <v>14</v>
      </c>
      <c r="D7" s="8">
        <v>74.48</v>
      </c>
      <c r="E7" s="8">
        <v>13.06</v>
      </c>
      <c r="F7" s="8">
        <v>9.4789999999999992</v>
      </c>
      <c r="G7" s="9">
        <v>497253.95680899755</v>
      </c>
      <c r="I7" s="14" t="s">
        <v>46</v>
      </c>
    </row>
    <row r="8" spans="1:9" x14ac:dyDescent="0.3">
      <c r="A8" s="7" t="s">
        <v>23</v>
      </c>
      <c r="B8" s="8">
        <v>2018</v>
      </c>
      <c r="C8" s="8" t="s">
        <v>14</v>
      </c>
      <c r="D8" s="8">
        <v>72.7</v>
      </c>
      <c r="E8" s="8">
        <v>13.41</v>
      </c>
      <c r="F8" s="8">
        <v>8.3330000000000002</v>
      </c>
      <c r="G8" s="9">
        <v>309544.19448158017</v>
      </c>
    </row>
    <row r="9" spans="1:9" x14ac:dyDescent="0.3">
      <c r="A9" s="7" t="s">
        <v>24</v>
      </c>
      <c r="B9" s="8">
        <v>2018</v>
      </c>
      <c r="C9" s="8" t="s">
        <v>14</v>
      </c>
      <c r="D9" s="8">
        <v>73.44</v>
      </c>
      <c r="E9" s="8">
        <v>13.34</v>
      </c>
      <c r="F9" s="8">
        <v>7.73</v>
      </c>
      <c r="G9" s="9">
        <v>293272.10823308572</v>
      </c>
      <c r="I9" s="14" t="s">
        <v>48</v>
      </c>
    </row>
    <row r="10" spans="1:9" x14ac:dyDescent="0.3">
      <c r="A10" s="7" t="s">
        <v>18</v>
      </c>
      <c r="B10" s="8">
        <v>2018</v>
      </c>
      <c r="C10" s="8" t="s">
        <v>14</v>
      </c>
      <c r="D10" s="8">
        <v>76.790000000000006</v>
      </c>
      <c r="E10" s="8">
        <v>13.56</v>
      </c>
      <c r="F10" s="8">
        <v>10.52</v>
      </c>
      <c r="G10" s="9">
        <v>562899.37102492293</v>
      </c>
      <c r="I10" s="14" t="s">
        <v>50</v>
      </c>
    </row>
    <row r="11" spans="1:9" x14ac:dyDescent="0.3">
      <c r="A11" s="7" t="s">
        <v>25</v>
      </c>
      <c r="B11" s="8">
        <v>2018</v>
      </c>
      <c r="C11" s="8" t="s">
        <v>14</v>
      </c>
      <c r="D11" s="8">
        <v>71.989999999999995</v>
      </c>
      <c r="E11" s="8">
        <v>13.28</v>
      </c>
      <c r="F11" s="8">
        <v>8.4830000000000005</v>
      </c>
      <c r="G11" s="9">
        <v>305240.77001911157</v>
      </c>
      <c r="I11" s="13" t="s">
        <v>49</v>
      </c>
    </row>
    <row r="12" spans="1:9" x14ac:dyDescent="0.3">
      <c r="A12" s="7" t="s">
        <v>26</v>
      </c>
      <c r="B12" s="8">
        <v>2018</v>
      </c>
      <c r="C12" s="8" t="s">
        <v>14</v>
      </c>
      <c r="D12" s="8">
        <v>70.86</v>
      </c>
      <c r="E12" s="8">
        <v>13.52</v>
      </c>
      <c r="F12" s="8">
        <v>8.6</v>
      </c>
      <c r="G12" s="9">
        <v>324115.80510194</v>
      </c>
    </row>
    <row r="13" spans="1:9" x14ac:dyDescent="0.3">
      <c r="A13" s="7" t="s">
        <v>27</v>
      </c>
      <c r="B13" s="8">
        <v>2018</v>
      </c>
      <c r="C13" s="8" t="s">
        <v>14</v>
      </c>
      <c r="D13" s="8">
        <v>73.19</v>
      </c>
      <c r="E13" s="8">
        <v>13.38</v>
      </c>
      <c r="F13" s="8">
        <v>8.3260000000000005</v>
      </c>
      <c r="G13" s="9">
        <v>357845.3375674467</v>
      </c>
      <c r="I13" s="14" t="s">
        <v>51</v>
      </c>
    </row>
    <row r="14" spans="1:9" x14ac:dyDescent="0.3">
      <c r="A14" s="7" t="s">
        <v>28</v>
      </c>
      <c r="B14" s="8">
        <v>2018</v>
      </c>
      <c r="C14" s="8" t="s">
        <v>14</v>
      </c>
      <c r="D14" s="8">
        <v>72.819999999999993</v>
      </c>
      <c r="E14" s="8">
        <v>13.9</v>
      </c>
      <c r="F14" s="8">
        <v>8.4049999999999994</v>
      </c>
      <c r="G14" s="9">
        <v>327700.76006211969</v>
      </c>
      <c r="I14" s="14" t="s">
        <v>52</v>
      </c>
    </row>
    <row r="15" spans="1:9" x14ac:dyDescent="0.3">
      <c r="A15" s="7" t="s">
        <v>29</v>
      </c>
      <c r="B15" s="8">
        <v>2018</v>
      </c>
      <c r="C15" s="8" t="s">
        <v>14</v>
      </c>
      <c r="D15" s="8">
        <v>73.150000000000006</v>
      </c>
      <c r="E15" s="8">
        <v>13.29</v>
      </c>
      <c r="F15" s="8">
        <v>8.7490000000000006</v>
      </c>
      <c r="G15" s="9">
        <v>342099.24160019465</v>
      </c>
    </row>
    <row r="16" spans="1:9" x14ac:dyDescent="0.3">
      <c r="A16" s="7" t="s">
        <v>30</v>
      </c>
      <c r="B16" s="8">
        <v>2018</v>
      </c>
      <c r="C16" s="8" t="s">
        <v>14</v>
      </c>
      <c r="D16" s="8">
        <v>74.5</v>
      </c>
      <c r="E16" s="8">
        <v>13.01</v>
      </c>
      <c r="F16" s="8">
        <v>8.4540000000000006</v>
      </c>
      <c r="G16" s="9">
        <v>305240.77001911157</v>
      </c>
      <c r="I16" s="14" t="s">
        <v>56</v>
      </c>
    </row>
    <row r="17" spans="1:7" x14ac:dyDescent="0.3">
      <c r="A17" s="7" t="s">
        <v>31</v>
      </c>
      <c r="B17" s="8">
        <v>2018</v>
      </c>
      <c r="C17" s="8" t="s">
        <v>14</v>
      </c>
      <c r="D17" s="8">
        <v>70.36</v>
      </c>
      <c r="E17" s="8">
        <v>12.95</v>
      </c>
      <c r="F17" s="8">
        <v>8.0579999999999998</v>
      </c>
      <c r="G17" s="9">
        <v>288040.43658410263</v>
      </c>
    </row>
    <row r="18" spans="1:7" x14ac:dyDescent="0.3">
      <c r="A18" s="7" t="s">
        <v>32</v>
      </c>
      <c r="B18" s="8">
        <v>2018</v>
      </c>
      <c r="C18" s="8" t="s">
        <v>14</v>
      </c>
      <c r="D18" s="8">
        <v>73.89</v>
      </c>
      <c r="E18" s="8">
        <v>13.3</v>
      </c>
      <c r="F18" s="8">
        <v>8.5830000000000002</v>
      </c>
      <c r="G18" s="9">
        <v>357130.36210609809</v>
      </c>
    </row>
    <row r="19" spans="1:7" x14ac:dyDescent="0.3">
      <c r="A19" s="7" t="s">
        <v>16</v>
      </c>
      <c r="B19" s="8">
        <v>2018</v>
      </c>
      <c r="C19" s="8" t="s">
        <v>15</v>
      </c>
      <c r="D19" s="8">
        <v>66.349999999999994</v>
      </c>
      <c r="E19" s="8">
        <v>10.85</v>
      </c>
      <c r="F19" s="8">
        <v>5.6520000000000001</v>
      </c>
      <c r="G19" s="9">
        <v>250410.32567225737</v>
      </c>
    </row>
    <row r="20" spans="1:7" x14ac:dyDescent="0.3">
      <c r="A20" s="7" t="s">
        <v>17</v>
      </c>
      <c r="B20" s="8">
        <v>2018</v>
      </c>
      <c r="C20" s="8" t="s">
        <v>15</v>
      </c>
      <c r="D20" s="8">
        <v>72.25</v>
      </c>
      <c r="E20" s="8">
        <v>12.69</v>
      </c>
      <c r="F20" s="8">
        <v>8.7629999999999999</v>
      </c>
      <c r="G20" s="9">
        <v>612838.15206862811</v>
      </c>
    </row>
    <row r="21" spans="1:7" x14ac:dyDescent="0.3">
      <c r="A21" s="7" t="s">
        <v>19</v>
      </c>
      <c r="B21" s="8">
        <v>2018</v>
      </c>
      <c r="C21" s="8" t="s">
        <v>15</v>
      </c>
      <c r="D21" s="8">
        <v>69.150000000000006</v>
      </c>
      <c r="E21" s="8">
        <v>12.5</v>
      </c>
      <c r="F21" s="8">
        <v>8.734</v>
      </c>
      <c r="G21" s="9">
        <v>645548.84347580932</v>
      </c>
    </row>
    <row r="22" spans="1:7" x14ac:dyDescent="0.3">
      <c r="A22" s="7" t="s">
        <v>20</v>
      </c>
      <c r="B22" s="8">
        <v>2018</v>
      </c>
      <c r="C22" s="8" t="s">
        <v>15</v>
      </c>
      <c r="D22" s="8">
        <v>70.680000000000007</v>
      </c>
      <c r="E22" s="8">
        <v>12</v>
      </c>
      <c r="F22" s="8">
        <v>7.8280000000000003</v>
      </c>
      <c r="G22" s="9">
        <v>529588.80991554609</v>
      </c>
    </row>
    <row r="23" spans="1:7" x14ac:dyDescent="0.3">
      <c r="A23" s="7" t="s">
        <v>21</v>
      </c>
      <c r="B23" s="8">
        <v>2018</v>
      </c>
      <c r="C23" s="8" t="s">
        <v>15</v>
      </c>
      <c r="D23" s="8">
        <v>70.95</v>
      </c>
      <c r="E23" s="8">
        <v>12.06</v>
      </c>
      <c r="F23" s="8">
        <v>8.6880000000000006</v>
      </c>
      <c r="G23" s="9">
        <v>728582.50689672586</v>
      </c>
    </row>
    <row r="24" spans="1:7" x14ac:dyDescent="0.3">
      <c r="A24" s="7" t="s">
        <v>22</v>
      </c>
      <c r="B24" s="8">
        <v>2018</v>
      </c>
      <c r="C24" s="8" t="s">
        <v>15</v>
      </c>
      <c r="D24" s="8">
        <v>70.56</v>
      </c>
      <c r="E24" s="8">
        <v>12.46</v>
      </c>
      <c r="F24" s="8">
        <v>9.1120000000000001</v>
      </c>
      <c r="G24" s="9">
        <v>750020.75170383614</v>
      </c>
    </row>
    <row r="25" spans="1:7" x14ac:dyDescent="0.3">
      <c r="A25" s="7" t="s">
        <v>23</v>
      </c>
      <c r="B25" s="8">
        <v>2018</v>
      </c>
      <c r="C25" s="8" t="s">
        <v>15</v>
      </c>
      <c r="D25" s="8">
        <v>69.12</v>
      </c>
      <c r="E25" s="8">
        <v>12.14</v>
      </c>
      <c r="F25" s="8">
        <v>7.6029999999999998</v>
      </c>
      <c r="G25" s="9">
        <v>456733.8677962955</v>
      </c>
    </row>
    <row r="26" spans="1:7" x14ac:dyDescent="0.3">
      <c r="A26" s="7" t="s">
        <v>24</v>
      </c>
      <c r="B26" s="8">
        <v>2018</v>
      </c>
      <c r="C26" s="8" t="s">
        <v>15</v>
      </c>
      <c r="D26" s="8">
        <v>69.72</v>
      </c>
      <c r="E26" s="8">
        <v>12.21</v>
      </c>
      <c r="F26" s="8">
        <v>7.2610000000000001</v>
      </c>
      <c r="G26" s="9">
        <v>431428.10279921431</v>
      </c>
    </row>
    <row r="27" spans="1:7" x14ac:dyDescent="0.3">
      <c r="A27" s="7" t="s">
        <v>18</v>
      </c>
      <c r="B27" s="8">
        <v>2018</v>
      </c>
      <c r="C27" s="8" t="s">
        <v>15</v>
      </c>
      <c r="D27" s="8">
        <v>72.430000000000007</v>
      </c>
      <c r="E27" s="8">
        <v>12.8</v>
      </c>
      <c r="F27" s="8">
        <v>10.220000000000001</v>
      </c>
      <c r="G27" s="9">
        <v>853291.20213281224</v>
      </c>
    </row>
    <row r="28" spans="1:7" x14ac:dyDescent="0.3">
      <c r="A28" s="7" t="s">
        <v>25</v>
      </c>
      <c r="B28" s="8">
        <v>2018</v>
      </c>
      <c r="C28" s="8" t="s">
        <v>15</v>
      </c>
      <c r="D28" s="8">
        <v>68.55</v>
      </c>
      <c r="E28" s="8">
        <v>12.29</v>
      </c>
      <c r="F28" s="8">
        <v>7.8570000000000002</v>
      </c>
      <c r="G28" s="9">
        <v>449933.98638721806</v>
      </c>
    </row>
    <row r="29" spans="1:7" x14ac:dyDescent="0.3">
      <c r="A29" s="7" t="s">
        <v>26</v>
      </c>
      <c r="B29" s="8">
        <v>2018</v>
      </c>
      <c r="C29" s="8" t="s">
        <v>15</v>
      </c>
      <c r="D29" s="8">
        <v>67.62</v>
      </c>
      <c r="E29" s="8">
        <v>12.48</v>
      </c>
      <c r="F29" s="8">
        <v>8.0250000000000004</v>
      </c>
      <c r="G29" s="9">
        <v>479191.77138471947</v>
      </c>
    </row>
    <row r="30" spans="1:7" x14ac:dyDescent="0.3">
      <c r="A30" s="7" t="s">
        <v>27</v>
      </c>
      <c r="B30" s="8">
        <v>2018</v>
      </c>
      <c r="C30" s="8" t="s">
        <v>15</v>
      </c>
      <c r="D30" s="8">
        <v>69.52</v>
      </c>
      <c r="E30" s="8">
        <v>12.36</v>
      </c>
      <c r="F30" s="8">
        <v>7.8159999999999998</v>
      </c>
      <c r="G30" s="9">
        <v>531179.96187987563</v>
      </c>
    </row>
    <row r="31" spans="1:7" x14ac:dyDescent="0.3">
      <c r="A31" s="7" t="s">
        <v>28</v>
      </c>
      <c r="B31" s="8">
        <v>2018</v>
      </c>
      <c r="C31" s="8" t="s">
        <v>15</v>
      </c>
      <c r="D31" s="8">
        <v>69.22</v>
      </c>
      <c r="E31" s="8">
        <v>12.84</v>
      </c>
      <c r="F31" s="8">
        <v>7.4370000000000003</v>
      </c>
      <c r="G31" s="9">
        <v>484976.71287112357</v>
      </c>
    </row>
    <row r="32" spans="1:7" x14ac:dyDescent="0.3">
      <c r="A32" s="7" t="s">
        <v>29</v>
      </c>
      <c r="B32" s="8">
        <v>2018</v>
      </c>
      <c r="C32" s="8" t="s">
        <v>15</v>
      </c>
      <c r="D32" s="8">
        <v>69.48</v>
      </c>
      <c r="E32" s="8">
        <v>12.32</v>
      </c>
      <c r="F32" s="8">
        <v>7.9790000000000001</v>
      </c>
      <c r="G32" s="9">
        <v>507299.15307014569</v>
      </c>
    </row>
    <row r="33" spans="1:7" x14ac:dyDescent="0.3">
      <c r="A33" s="7" t="s">
        <v>30</v>
      </c>
      <c r="B33" s="8">
        <v>2018</v>
      </c>
      <c r="C33" s="8" t="s">
        <v>15</v>
      </c>
      <c r="D33" s="8">
        <v>70.58</v>
      </c>
      <c r="E33" s="8">
        <v>13.13</v>
      </c>
      <c r="F33" s="8">
        <v>7.77</v>
      </c>
      <c r="G33" s="9">
        <v>449933.98638721806</v>
      </c>
    </row>
    <row r="34" spans="1:7" x14ac:dyDescent="0.3">
      <c r="A34" s="7" t="s">
        <v>31</v>
      </c>
      <c r="B34" s="8">
        <v>2018</v>
      </c>
      <c r="C34" s="8" t="s">
        <v>15</v>
      </c>
      <c r="D34" s="8">
        <v>67.22</v>
      </c>
      <c r="E34" s="8">
        <v>12.11</v>
      </c>
      <c r="F34" s="8">
        <v>7.4340000000000002</v>
      </c>
      <c r="G34" s="9">
        <v>423308.35075815755</v>
      </c>
    </row>
    <row r="35" spans="1:7" x14ac:dyDescent="0.3">
      <c r="A35" s="7" t="s">
        <v>32</v>
      </c>
      <c r="B35" s="8">
        <v>2018</v>
      </c>
      <c r="C35" s="8" t="s">
        <v>15</v>
      </c>
      <c r="D35" s="8">
        <v>70.08</v>
      </c>
      <c r="E35" s="8">
        <v>12.44</v>
      </c>
      <c r="F35" s="8">
        <v>7.6719999999999997</v>
      </c>
      <c r="G35" s="9">
        <v>530118.66360815417</v>
      </c>
    </row>
    <row r="36" spans="1:7" x14ac:dyDescent="0.3">
      <c r="A36" s="7" t="s">
        <v>16</v>
      </c>
      <c r="B36" s="8">
        <v>2019</v>
      </c>
      <c r="C36" s="8" t="s">
        <v>14</v>
      </c>
      <c r="D36" s="8">
        <v>70.31</v>
      </c>
      <c r="E36" s="8">
        <v>12.31</v>
      </c>
      <c r="F36" s="8">
        <v>6.5389999999999997</v>
      </c>
      <c r="G36" s="9">
        <v>185285.13474345289</v>
      </c>
    </row>
    <row r="37" spans="1:7" x14ac:dyDescent="0.3">
      <c r="A37" s="7" t="s">
        <v>17</v>
      </c>
      <c r="B37" s="8">
        <v>2019</v>
      </c>
      <c r="C37" s="8" t="s">
        <v>14</v>
      </c>
      <c r="D37" s="8">
        <v>76.489999999999995</v>
      </c>
      <c r="E37" s="8">
        <v>14.27</v>
      </c>
      <c r="F37" s="8">
        <v>9.93</v>
      </c>
      <c r="G37" s="9">
        <v>430047.60309225792</v>
      </c>
    </row>
    <row r="38" spans="1:7" x14ac:dyDescent="0.3">
      <c r="A38" s="7" t="s">
        <v>19</v>
      </c>
      <c r="B38" s="8">
        <v>2019</v>
      </c>
      <c r="C38" s="8" t="s">
        <v>14</v>
      </c>
      <c r="D38" s="8">
        <v>72.34</v>
      </c>
      <c r="E38" s="8">
        <v>13.46</v>
      </c>
      <c r="F38" s="8">
        <v>9.5909999999999993</v>
      </c>
      <c r="G38" s="9">
        <v>447598.17871403438</v>
      </c>
    </row>
    <row r="39" spans="1:7" x14ac:dyDescent="0.3">
      <c r="A39" s="7" t="s">
        <v>20</v>
      </c>
      <c r="B39" s="8">
        <v>2019</v>
      </c>
      <c r="C39" s="8" t="s">
        <v>14</v>
      </c>
      <c r="D39" s="8">
        <v>75.14</v>
      </c>
      <c r="E39" s="8">
        <v>13.88</v>
      </c>
      <c r="F39" s="8">
        <v>8.657</v>
      </c>
      <c r="G39" s="9">
        <v>379136.35170975653</v>
      </c>
    </row>
    <row r="40" spans="1:7" x14ac:dyDescent="0.3">
      <c r="A40" s="7" t="s">
        <v>21</v>
      </c>
      <c r="B40" s="8">
        <v>2019</v>
      </c>
      <c r="C40" s="8" t="s">
        <v>14</v>
      </c>
      <c r="D40" s="8">
        <v>74.8</v>
      </c>
      <c r="E40" s="8">
        <v>13.16</v>
      </c>
      <c r="F40" s="8">
        <v>9.2970000000000006</v>
      </c>
      <c r="G40" s="9">
        <v>499144.63698329392</v>
      </c>
    </row>
    <row r="41" spans="1:7" x14ac:dyDescent="0.3">
      <c r="A41" s="7" t="s">
        <v>22</v>
      </c>
      <c r="B41" s="8">
        <v>2019</v>
      </c>
      <c r="C41" s="8" t="s">
        <v>14</v>
      </c>
      <c r="D41" s="8">
        <v>74.290000000000006</v>
      </c>
      <c r="E41" s="8">
        <v>13.32</v>
      </c>
      <c r="F41" s="8">
        <v>9.718</v>
      </c>
      <c r="G41" s="9">
        <v>508210.58923991304</v>
      </c>
    </row>
    <row r="42" spans="1:7" x14ac:dyDescent="0.3">
      <c r="A42" s="7" t="s">
        <v>23</v>
      </c>
      <c r="B42" s="8">
        <v>2019</v>
      </c>
      <c r="C42" s="8" t="s">
        <v>14</v>
      </c>
      <c r="D42" s="8">
        <v>72.91</v>
      </c>
      <c r="E42" s="8">
        <v>13.63</v>
      </c>
      <c r="F42" s="8">
        <v>8.6020000000000003</v>
      </c>
      <c r="G42" s="9">
        <v>326325.68206928344</v>
      </c>
    </row>
    <row r="43" spans="1:7" x14ac:dyDescent="0.3">
      <c r="A43" s="7" t="s">
        <v>24</v>
      </c>
      <c r="B43" s="8">
        <v>2019</v>
      </c>
      <c r="C43" s="8" t="s">
        <v>14</v>
      </c>
      <c r="D43" s="8">
        <v>73.12</v>
      </c>
      <c r="E43" s="8">
        <v>13.52</v>
      </c>
      <c r="F43" s="8">
        <v>7.94</v>
      </c>
      <c r="G43" s="9">
        <v>308862.41147436737</v>
      </c>
    </row>
    <row r="44" spans="1:7" x14ac:dyDescent="0.3">
      <c r="A44" s="7" t="s">
        <v>18</v>
      </c>
      <c r="B44" s="8">
        <v>2019</v>
      </c>
      <c r="C44" s="8" t="s">
        <v>14</v>
      </c>
      <c r="D44" s="8">
        <v>76.8</v>
      </c>
      <c r="E44" s="8">
        <v>13.65</v>
      </c>
      <c r="F44" s="8">
        <v>10.7</v>
      </c>
      <c r="G44" s="9">
        <v>557184.21225160477</v>
      </c>
    </row>
    <row r="45" spans="1:7" x14ac:dyDescent="0.3">
      <c r="A45" s="7" t="s">
        <v>25</v>
      </c>
      <c r="B45" s="8">
        <v>2019</v>
      </c>
      <c r="C45" s="8" t="s">
        <v>14</v>
      </c>
      <c r="D45" s="8">
        <v>72.44</v>
      </c>
      <c r="E45" s="8">
        <v>13.2</v>
      </c>
      <c r="F45" s="8">
        <v>8.673</v>
      </c>
      <c r="G45" s="9">
        <v>325348.17202127998</v>
      </c>
    </row>
    <row r="46" spans="1:7" x14ac:dyDescent="0.3">
      <c r="A46" s="7" t="s">
        <v>26</v>
      </c>
      <c r="B46" s="8">
        <v>2019</v>
      </c>
      <c r="C46" s="8" t="s">
        <v>14</v>
      </c>
      <c r="D46" s="8">
        <v>71.8</v>
      </c>
      <c r="E46" s="8">
        <v>13.7</v>
      </c>
      <c r="F46" s="8">
        <v>8.968</v>
      </c>
      <c r="G46" s="9">
        <v>345812.21877420729</v>
      </c>
    </row>
    <row r="47" spans="1:7" x14ac:dyDescent="0.3">
      <c r="A47" s="7" t="s">
        <v>27</v>
      </c>
      <c r="B47" s="8">
        <v>2019</v>
      </c>
      <c r="C47" s="8" t="s">
        <v>14</v>
      </c>
      <c r="D47" s="8">
        <v>73.3</v>
      </c>
      <c r="E47" s="8">
        <v>13.52</v>
      </c>
      <c r="F47" s="8">
        <v>8.5690000000000008</v>
      </c>
      <c r="G47" s="9">
        <v>367931.17912260914</v>
      </c>
    </row>
    <row r="48" spans="1:7" x14ac:dyDescent="0.3">
      <c r="A48" s="7" t="s">
        <v>28</v>
      </c>
      <c r="B48" s="8">
        <v>2019</v>
      </c>
      <c r="C48" s="8" t="s">
        <v>14</v>
      </c>
      <c r="D48" s="8">
        <v>72.98</v>
      </c>
      <c r="E48" s="8">
        <v>14.05</v>
      </c>
      <c r="F48" s="8">
        <v>8.6950000000000003</v>
      </c>
      <c r="G48" s="9">
        <v>343743.55765091151</v>
      </c>
    </row>
    <row r="49" spans="1:7" x14ac:dyDescent="0.3">
      <c r="A49" s="7" t="s">
        <v>29</v>
      </c>
      <c r="B49" s="8">
        <v>2019</v>
      </c>
      <c r="C49" s="8" t="s">
        <v>14</v>
      </c>
      <c r="D49" s="8">
        <v>73.63</v>
      </c>
      <c r="E49" s="8">
        <v>13.57</v>
      </c>
      <c r="F49" s="8">
        <v>8.9949999999999992</v>
      </c>
      <c r="G49" s="9">
        <v>369036.63000721583</v>
      </c>
    </row>
    <row r="50" spans="1:7" x14ac:dyDescent="0.3">
      <c r="A50" s="7" t="s">
        <v>30</v>
      </c>
      <c r="B50" s="8">
        <v>2019</v>
      </c>
      <c r="C50" s="8" t="s">
        <v>14</v>
      </c>
      <c r="D50" s="8">
        <v>74.930000000000007</v>
      </c>
      <c r="E50" s="8">
        <v>13.22</v>
      </c>
      <c r="F50" s="8">
        <v>8.76</v>
      </c>
      <c r="G50" s="9">
        <v>332917.89813222789</v>
      </c>
    </row>
    <row r="51" spans="1:7" x14ac:dyDescent="0.3">
      <c r="A51" s="7" t="s">
        <v>31</v>
      </c>
      <c r="B51" s="8">
        <v>2019</v>
      </c>
      <c r="C51" s="8" t="s">
        <v>14</v>
      </c>
      <c r="D51" s="8">
        <v>71.03</v>
      </c>
      <c r="E51" s="8">
        <v>13.24</v>
      </c>
      <c r="F51" s="8">
        <v>8.3339999999999996</v>
      </c>
      <c r="G51" s="9">
        <v>308553.70344263472</v>
      </c>
    </row>
    <row r="52" spans="1:7" x14ac:dyDescent="0.3">
      <c r="A52" s="7" t="s">
        <v>32</v>
      </c>
      <c r="B52" s="8">
        <v>2019</v>
      </c>
      <c r="C52" s="8" t="s">
        <v>14</v>
      </c>
      <c r="D52" s="8">
        <v>74.400000000000006</v>
      </c>
      <c r="E52" s="8">
        <v>13.56</v>
      </c>
      <c r="F52" s="8">
        <v>8.8780000000000001</v>
      </c>
      <c r="G52" s="9">
        <v>373491.74680682697</v>
      </c>
    </row>
    <row r="53" spans="1:7" x14ac:dyDescent="0.3">
      <c r="A53" s="7" t="s">
        <v>16</v>
      </c>
      <c r="B53" s="8">
        <v>2019</v>
      </c>
      <c r="C53" s="8" t="s">
        <v>15</v>
      </c>
      <c r="D53" s="8">
        <v>67.19</v>
      </c>
      <c r="E53" s="8">
        <v>11.1</v>
      </c>
      <c r="F53" s="8">
        <v>5.9740000000000002</v>
      </c>
      <c r="G53" s="9">
        <v>258758.68453224786</v>
      </c>
    </row>
    <row r="54" spans="1:7" x14ac:dyDescent="0.3">
      <c r="A54" s="7" t="s">
        <v>17</v>
      </c>
      <c r="B54" s="8">
        <v>2019</v>
      </c>
      <c r="C54" s="8" t="s">
        <v>15</v>
      </c>
      <c r="D54" s="8">
        <v>72.2</v>
      </c>
      <c r="E54" s="8">
        <v>13.06</v>
      </c>
      <c r="F54" s="8">
        <v>9.1</v>
      </c>
      <c r="G54" s="9">
        <v>621350.85570764763</v>
      </c>
    </row>
    <row r="55" spans="1:7" x14ac:dyDescent="0.3">
      <c r="A55" s="7" t="s">
        <v>19</v>
      </c>
      <c r="B55" s="8">
        <v>2019</v>
      </c>
      <c r="C55" s="8" t="s">
        <v>15</v>
      </c>
      <c r="D55" s="8">
        <v>68.849999999999994</v>
      </c>
      <c r="E55" s="8">
        <v>12.73</v>
      </c>
      <c r="F55" s="8">
        <v>9.0050000000000008</v>
      </c>
      <c r="G55" s="9">
        <v>647355.69730149838</v>
      </c>
    </row>
    <row r="56" spans="1:7" x14ac:dyDescent="0.3">
      <c r="A56" s="7" t="s">
        <v>20</v>
      </c>
      <c r="B56" s="8">
        <v>2019</v>
      </c>
      <c r="C56" s="8" t="s">
        <v>15</v>
      </c>
      <c r="D56" s="8">
        <v>71.11</v>
      </c>
      <c r="E56" s="8">
        <v>12.51</v>
      </c>
      <c r="F56" s="8">
        <v>8.0760000000000005</v>
      </c>
      <c r="G56" s="9">
        <v>545060.01475983299</v>
      </c>
    </row>
    <row r="57" spans="1:7" x14ac:dyDescent="0.3">
      <c r="A57" s="7" t="s">
        <v>21</v>
      </c>
      <c r="B57" s="8">
        <v>2019</v>
      </c>
      <c r="C57" s="8" t="s">
        <v>15</v>
      </c>
      <c r="D57" s="8">
        <v>70.84</v>
      </c>
      <c r="E57" s="8">
        <v>12.42</v>
      </c>
      <c r="F57" s="8">
        <v>9.0069999999999997</v>
      </c>
      <c r="G57" s="9">
        <v>725525.27330651623</v>
      </c>
    </row>
    <row r="58" spans="1:7" x14ac:dyDescent="0.3">
      <c r="A58" s="7" t="s">
        <v>22</v>
      </c>
      <c r="B58" s="8">
        <v>2019</v>
      </c>
      <c r="C58" s="8" t="s">
        <v>15</v>
      </c>
      <c r="D58" s="8">
        <v>70.430000000000007</v>
      </c>
      <c r="E58" s="8">
        <v>12.66</v>
      </c>
      <c r="F58" s="8">
        <v>9.3870000000000005</v>
      </c>
      <c r="G58" s="9">
        <v>738702.9717157816</v>
      </c>
    </row>
    <row r="59" spans="1:7" x14ac:dyDescent="0.3">
      <c r="A59" s="7" t="s">
        <v>23</v>
      </c>
      <c r="B59" s="8">
        <v>2019</v>
      </c>
      <c r="C59" s="8" t="s">
        <v>15</v>
      </c>
      <c r="D59" s="8">
        <v>69.31</v>
      </c>
      <c r="E59" s="8">
        <v>12.6</v>
      </c>
      <c r="F59" s="8">
        <v>7.8440000000000003</v>
      </c>
      <c r="G59" s="9">
        <v>466331.10493153788</v>
      </c>
    </row>
    <row r="60" spans="1:7" x14ac:dyDescent="0.3">
      <c r="A60" s="7" t="s">
        <v>24</v>
      </c>
      <c r="B60" s="8">
        <v>2019</v>
      </c>
      <c r="C60" s="8" t="s">
        <v>15</v>
      </c>
      <c r="D60" s="8">
        <v>69.489999999999995</v>
      </c>
      <c r="E60" s="8">
        <v>12.54</v>
      </c>
      <c r="F60" s="8">
        <v>7.4219999999999997</v>
      </c>
      <c r="G60" s="9">
        <v>440493.59607946913</v>
      </c>
    </row>
    <row r="61" spans="1:7" x14ac:dyDescent="0.3">
      <c r="A61" s="7" t="s">
        <v>18</v>
      </c>
      <c r="B61" s="8">
        <v>2019</v>
      </c>
      <c r="C61" s="8" t="s">
        <v>15</v>
      </c>
      <c r="D61" s="8">
        <v>72.459999999999994</v>
      </c>
      <c r="E61" s="8">
        <v>12.92</v>
      </c>
      <c r="F61" s="8">
        <v>10.44</v>
      </c>
      <c r="G61" s="9">
        <v>813133.99171543447</v>
      </c>
    </row>
    <row r="62" spans="1:7" x14ac:dyDescent="0.3">
      <c r="A62" s="7" t="s">
        <v>25</v>
      </c>
      <c r="B62" s="8">
        <v>2019</v>
      </c>
      <c r="C62" s="8" t="s">
        <v>15</v>
      </c>
      <c r="D62" s="8">
        <v>68.930000000000007</v>
      </c>
      <c r="E62" s="8">
        <v>12.24</v>
      </c>
      <c r="F62" s="8">
        <v>8.048</v>
      </c>
      <c r="G62" s="9">
        <v>464934.20800979831</v>
      </c>
    </row>
    <row r="63" spans="1:7" x14ac:dyDescent="0.3">
      <c r="A63" s="7" t="s">
        <v>26</v>
      </c>
      <c r="B63" s="8">
        <v>2019</v>
      </c>
      <c r="C63" s="8" t="s">
        <v>15</v>
      </c>
      <c r="D63" s="8">
        <v>68.41</v>
      </c>
      <c r="E63" s="8">
        <v>12.84</v>
      </c>
      <c r="F63" s="8">
        <v>8.4369999999999994</v>
      </c>
      <c r="G63" s="9">
        <v>495167.41000718606</v>
      </c>
    </row>
    <row r="64" spans="1:7" x14ac:dyDescent="0.3">
      <c r="A64" s="7" t="s">
        <v>27</v>
      </c>
      <c r="B64" s="8">
        <v>2019</v>
      </c>
      <c r="C64" s="8" t="s">
        <v>15</v>
      </c>
      <c r="D64" s="8">
        <v>69.62</v>
      </c>
      <c r="E64" s="8">
        <v>12.65</v>
      </c>
      <c r="F64" s="8">
        <v>8.0960000000000001</v>
      </c>
      <c r="G64" s="9">
        <v>527894.21192308282</v>
      </c>
    </row>
    <row r="65" spans="1:7" x14ac:dyDescent="0.3">
      <c r="A65" s="7" t="s">
        <v>28</v>
      </c>
      <c r="B65" s="8">
        <v>2019</v>
      </c>
      <c r="C65" s="8" t="s">
        <v>15</v>
      </c>
      <c r="D65" s="8">
        <v>69.37</v>
      </c>
      <c r="E65" s="8">
        <v>13.01</v>
      </c>
      <c r="F65" s="8">
        <v>7.766</v>
      </c>
      <c r="G65" s="9">
        <v>492205.30076120328</v>
      </c>
    </row>
    <row r="66" spans="1:7" x14ac:dyDescent="0.3">
      <c r="A66" s="7" t="s">
        <v>29</v>
      </c>
      <c r="B66" s="8">
        <v>2019</v>
      </c>
      <c r="C66" s="8" t="s">
        <v>15</v>
      </c>
      <c r="D66" s="8">
        <v>69.900000000000006</v>
      </c>
      <c r="E66" s="8">
        <v>12.6</v>
      </c>
      <c r="F66" s="8">
        <v>8.2189999999999994</v>
      </c>
      <c r="G66" s="9">
        <v>530010.01756097726</v>
      </c>
    </row>
    <row r="67" spans="1:7" x14ac:dyDescent="0.3">
      <c r="A67" s="7" t="s">
        <v>30</v>
      </c>
      <c r="B67" s="8">
        <v>2019</v>
      </c>
      <c r="C67" s="8" t="s">
        <v>15</v>
      </c>
      <c r="D67" s="8">
        <v>70.95</v>
      </c>
      <c r="E67" s="8">
        <v>13.12</v>
      </c>
      <c r="F67" s="8">
        <v>8.0619999999999994</v>
      </c>
      <c r="G67" s="9">
        <v>476227.60772058112</v>
      </c>
    </row>
    <row r="68" spans="1:7" x14ac:dyDescent="0.3">
      <c r="A68" s="7" t="s">
        <v>31</v>
      </c>
      <c r="B68" s="8">
        <v>2019</v>
      </c>
      <c r="C68" s="8" t="s">
        <v>15</v>
      </c>
      <c r="D68" s="8">
        <v>67.78</v>
      </c>
      <c r="E68" s="8">
        <v>12.32</v>
      </c>
      <c r="F68" s="8">
        <v>7.6890000000000001</v>
      </c>
      <c r="G68" s="9">
        <v>439613.48928747082</v>
      </c>
    </row>
    <row r="69" spans="1:7" x14ac:dyDescent="0.3">
      <c r="A69" s="7" t="s">
        <v>32</v>
      </c>
      <c r="B69" s="8">
        <v>2019</v>
      </c>
      <c r="C69" s="8" t="s">
        <v>15</v>
      </c>
      <c r="D69" s="8">
        <v>70.52</v>
      </c>
      <c r="E69" s="8">
        <v>12.71</v>
      </c>
      <c r="F69" s="8">
        <v>7.9489999999999998</v>
      </c>
      <c r="G69" s="9">
        <v>536945.12834013277</v>
      </c>
    </row>
    <row r="70" spans="1:7" x14ac:dyDescent="0.3">
      <c r="A70" s="7" t="s">
        <v>16</v>
      </c>
      <c r="B70" s="8">
        <v>2020</v>
      </c>
      <c r="C70" s="8" t="s">
        <v>14</v>
      </c>
      <c r="D70" s="8">
        <v>71.37</v>
      </c>
      <c r="E70" s="8">
        <v>12.25</v>
      </c>
      <c r="F70" s="8">
        <v>6.6769999999999996</v>
      </c>
      <c r="G70" s="9">
        <v>163112.0107517151</v>
      </c>
    </row>
    <row r="71" spans="1:7" x14ac:dyDescent="0.3">
      <c r="A71" s="7" t="s">
        <v>17</v>
      </c>
      <c r="B71" s="8">
        <v>2020</v>
      </c>
      <c r="C71" s="8" t="s">
        <v>14</v>
      </c>
      <c r="D71" s="8">
        <v>76.47</v>
      </c>
      <c r="E71" s="8">
        <v>13.94</v>
      </c>
      <c r="F71" s="8">
        <v>10.07</v>
      </c>
      <c r="G71" s="9">
        <v>366294.31416924793</v>
      </c>
    </row>
    <row r="72" spans="1:7" x14ac:dyDescent="0.3">
      <c r="A72" s="7" t="s">
        <v>19</v>
      </c>
      <c r="B72" s="8">
        <v>2020</v>
      </c>
      <c r="C72" s="8" t="s">
        <v>14</v>
      </c>
      <c r="D72" s="8">
        <v>72.010000000000005</v>
      </c>
      <c r="E72" s="8">
        <v>13.33</v>
      </c>
      <c r="F72" s="8">
        <v>9.6359999999999992</v>
      </c>
      <c r="G72" s="9">
        <v>377072.37582222419</v>
      </c>
    </row>
    <row r="73" spans="1:7" x14ac:dyDescent="0.3">
      <c r="A73" s="7" t="s">
        <v>20</v>
      </c>
      <c r="B73" s="8">
        <v>2020</v>
      </c>
      <c r="C73" s="8" t="s">
        <v>14</v>
      </c>
      <c r="D73" s="8">
        <v>75.72</v>
      </c>
      <c r="E73" s="8">
        <v>13.68</v>
      </c>
      <c r="F73" s="8">
        <v>8.6829999999999998</v>
      </c>
      <c r="G73" s="9">
        <v>328138.95019784325</v>
      </c>
    </row>
    <row r="74" spans="1:7" x14ac:dyDescent="0.3">
      <c r="A74" s="7" t="s">
        <v>21</v>
      </c>
      <c r="B74" s="8">
        <v>2020</v>
      </c>
      <c r="C74" s="8" t="s">
        <v>14</v>
      </c>
      <c r="D74" s="8">
        <v>74.709999999999994</v>
      </c>
      <c r="E74" s="8">
        <v>13.04</v>
      </c>
      <c r="F74" s="8">
        <v>9.3539999999999992</v>
      </c>
      <c r="G74" s="9">
        <v>416312.90263991914</v>
      </c>
    </row>
    <row r="75" spans="1:7" x14ac:dyDescent="0.3">
      <c r="A75" s="7" t="s">
        <v>22</v>
      </c>
      <c r="B75" s="8">
        <v>2020</v>
      </c>
      <c r="C75" s="8" t="s">
        <v>14</v>
      </c>
      <c r="D75" s="8">
        <v>74.180000000000007</v>
      </c>
      <c r="E75" s="8">
        <v>13.16</v>
      </c>
      <c r="F75" s="8">
        <v>9.7059999999999995</v>
      </c>
      <c r="G75" s="9">
        <v>420076.63013226783</v>
      </c>
    </row>
    <row r="76" spans="1:7" x14ac:dyDescent="0.3">
      <c r="A76" s="7" t="s">
        <v>23</v>
      </c>
      <c r="B76" s="8">
        <v>2020</v>
      </c>
      <c r="C76" s="8" t="s">
        <v>14</v>
      </c>
      <c r="D76" s="8">
        <v>73.19</v>
      </c>
      <c r="E76" s="8">
        <v>13.41</v>
      </c>
      <c r="F76" s="8">
        <v>8.6489999999999991</v>
      </c>
      <c r="G76" s="9">
        <v>281023.17727297224</v>
      </c>
    </row>
    <row r="77" spans="1:7" x14ac:dyDescent="0.3">
      <c r="A77" s="7" t="s">
        <v>24</v>
      </c>
      <c r="B77" s="8">
        <v>2020</v>
      </c>
      <c r="C77" s="8" t="s">
        <v>14</v>
      </c>
      <c r="D77" s="8">
        <v>72.88</v>
      </c>
      <c r="E77" s="8">
        <v>13.28</v>
      </c>
      <c r="F77" s="8">
        <v>7.9450000000000003</v>
      </c>
      <c r="G77" s="9">
        <v>266250.38081956032</v>
      </c>
    </row>
    <row r="78" spans="1:7" x14ac:dyDescent="0.3">
      <c r="A78" s="7" t="s">
        <v>18</v>
      </c>
      <c r="B78" s="8">
        <v>2020</v>
      </c>
      <c r="C78" s="8" t="s">
        <v>14</v>
      </c>
      <c r="D78" s="8">
        <v>76.89</v>
      </c>
      <c r="E78" s="8">
        <v>13.31</v>
      </c>
      <c r="F78" s="8">
        <v>10.61</v>
      </c>
      <c r="G78" s="9">
        <v>445606.88845787081</v>
      </c>
    </row>
    <row r="79" spans="1:7" x14ac:dyDescent="0.3">
      <c r="A79" s="7" t="s">
        <v>25</v>
      </c>
      <c r="B79" s="8">
        <v>2020</v>
      </c>
      <c r="C79" s="8" t="s">
        <v>14</v>
      </c>
      <c r="D79" s="8">
        <v>72.959999999999994</v>
      </c>
      <c r="E79" s="8">
        <v>12.72</v>
      </c>
      <c r="F79" s="8">
        <v>8.64</v>
      </c>
      <c r="G79" s="9">
        <v>283280.37946151156</v>
      </c>
    </row>
    <row r="80" spans="1:7" x14ac:dyDescent="0.3">
      <c r="A80" s="7" t="s">
        <v>26</v>
      </c>
      <c r="B80" s="8">
        <v>2020</v>
      </c>
      <c r="C80" s="8" t="s">
        <v>14</v>
      </c>
      <c r="D80" s="8">
        <v>72.81</v>
      </c>
      <c r="E80" s="8">
        <v>13.44</v>
      </c>
      <c r="F80" s="8">
        <v>9.1080000000000005</v>
      </c>
      <c r="G80" s="9">
        <v>300797.45983147062</v>
      </c>
    </row>
    <row r="81" spans="1:7" x14ac:dyDescent="0.3">
      <c r="A81" s="7" t="s">
        <v>27</v>
      </c>
      <c r="B81" s="8">
        <v>2020</v>
      </c>
      <c r="C81" s="8" t="s">
        <v>14</v>
      </c>
      <c r="D81" s="8">
        <v>73.47</v>
      </c>
      <c r="E81" s="8">
        <v>13.24</v>
      </c>
      <c r="F81" s="8">
        <v>8.5909999999999993</v>
      </c>
      <c r="G81" s="9">
        <v>308103.92575146828</v>
      </c>
    </row>
    <row r="82" spans="1:7" x14ac:dyDescent="0.3">
      <c r="A82" s="7" t="s">
        <v>28</v>
      </c>
      <c r="B82" s="8">
        <v>2020</v>
      </c>
      <c r="C82" s="8" t="s">
        <v>14</v>
      </c>
      <c r="D82" s="8">
        <v>73.209999999999994</v>
      </c>
      <c r="E82" s="8">
        <v>13.75</v>
      </c>
      <c r="F82" s="8">
        <v>8.7620000000000005</v>
      </c>
      <c r="G82" s="9">
        <v>294252.17780834466</v>
      </c>
    </row>
    <row r="83" spans="1:7" x14ac:dyDescent="0.3">
      <c r="A83" s="7" t="s">
        <v>29</v>
      </c>
      <c r="B83" s="8">
        <v>2020</v>
      </c>
      <c r="C83" s="8" t="s">
        <v>14</v>
      </c>
      <c r="D83" s="8">
        <v>74.19</v>
      </c>
      <c r="E83" s="8">
        <v>13.41</v>
      </c>
      <c r="F83" s="8">
        <v>9.0090000000000003</v>
      </c>
      <c r="G83" s="9">
        <v>324549.20155973535</v>
      </c>
    </row>
    <row r="84" spans="1:7" x14ac:dyDescent="0.3">
      <c r="A84" s="7" t="s">
        <v>30</v>
      </c>
      <c r="B84" s="8">
        <v>2020</v>
      </c>
      <c r="C84" s="8" t="s">
        <v>14</v>
      </c>
      <c r="D84" s="8">
        <v>75.430000000000007</v>
      </c>
      <c r="E84" s="8">
        <v>13.01</v>
      </c>
      <c r="F84" s="8">
        <v>8.8409999999999993</v>
      </c>
      <c r="G84" s="9">
        <v>296912.40045404638</v>
      </c>
    </row>
    <row r="85" spans="1:7" x14ac:dyDescent="0.3">
      <c r="A85" s="7" t="s">
        <v>31</v>
      </c>
      <c r="B85" s="8">
        <v>2020</v>
      </c>
      <c r="C85" s="8" t="s">
        <v>14</v>
      </c>
      <c r="D85" s="8">
        <v>71.77</v>
      </c>
      <c r="E85" s="8">
        <v>13.1</v>
      </c>
      <c r="F85" s="8">
        <v>8.3949999999999996</v>
      </c>
      <c r="G85" s="9">
        <v>270274.24002884625</v>
      </c>
    </row>
    <row r="86" spans="1:7" x14ac:dyDescent="0.3">
      <c r="A86" s="7" t="s">
        <v>32</v>
      </c>
      <c r="B86" s="8">
        <v>2020</v>
      </c>
      <c r="C86" s="8" t="s">
        <v>14</v>
      </c>
      <c r="D86" s="8">
        <v>74.98</v>
      </c>
      <c r="E86" s="8">
        <v>13.39</v>
      </c>
      <c r="F86" s="8">
        <v>8.9469999999999992</v>
      </c>
      <c r="G86" s="9">
        <v>318440.97860279295</v>
      </c>
    </row>
    <row r="87" spans="1:7" x14ac:dyDescent="0.3">
      <c r="A87" s="7" t="s">
        <v>16</v>
      </c>
      <c r="B87" s="8">
        <v>2020</v>
      </c>
      <c r="C87" s="8" t="s">
        <v>15</v>
      </c>
      <c r="D87" s="8">
        <v>68.11</v>
      </c>
      <c r="E87" s="8">
        <v>10.93</v>
      </c>
      <c r="F87" s="8">
        <v>6.1050000000000004</v>
      </c>
      <c r="G87" s="9">
        <v>224177.27549825184</v>
      </c>
    </row>
    <row r="88" spans="1:7" x14ac:dyDescent="0.3">
      <c r="A88" s="7" t="s">
        <v>17</v>
      </c>
      <c r="B88" s="8">
        <v>2020</v>
      </c>
      <c r="C88" s="8" t="s">
        <v>15</v>
      </c>
      <c r="D88" s="8">
        <v>72.239999999999995</v>
      </c>
      <c r="E88" s="8">
        <v>12.92</v>
      </c>
      <c r="F88" s="8">
        <v>9.1449999999999996</v>
      </c>
      <c r="G88" s="9">
        <v>519796.37447180285</v>
      </c>
    </row>
    <row r="89" spans="1:7" x14ac:dyDescent="0.3">
      <c r="A89" s="7" t="s">
        <v>19</v>
      </c>
      <c r="B89" s="8">
        <v>2020</v>
      </c>
      <c r="C89" s="8" t="s">
        <v>15</v>
      </c>
      <c r="D89" s="8">
        <v>68.64</v>
      </c>
      <c r="E89" s="8">
        <v>12.48</v>
      </c>
      <c r="F89" s="8">
        <v>8.9860000000000007</v>
      </c>
      <c r="G89" s="9">
        <v>535626.53080706997</v>
      </c>
    </row>
    <row r="90" spans="1:7" x14ac:dyDescent="0.3">
      <c r="A90" s="7" t="s">
        <v>20</v>
      </c>
      <c r="B90" s="8">
        <v>2020</v>
      </c>
      <c r="C90" s="8" t="s">
        <v>15</v>
      </c>
      <c r="D90" s="8">
        <v>71.63</v>
      </c>
      <c r="E90" s="8">
        <v>12.53</v>
      </c>
      <c r="F90" s="8">
        <v>8.0640000000000001</v>
      </c>
      <c r="G90" s="9">
        <v>463328.88992968207</v>
      </c>
    </row>
    <row r="91" spans="1:7" x14ac:dyDescent="0.3">
      <c r="A91" s="7" t="s">
        <v>21</v>
      </c>
      <c r="B91" s="8">
        <v>2020</v>
      </c>
      <c r="C91" s="8" t="s">
        <v>15</v>
      </c>
      <c r="D91" s="8">
        <v>70.819999999999993</v>
      </c>
      <c r="E91" s="8">
        <v>12.3</v>
      </c>
      <c r="F91" s="8">
        <v>9.0370000000000008</v>
      </c>
      <c r="G91" s="9">
        <v>593737.40787282225</v>
      </c>
    </row>
    <row r="92" spans="1:7" x14ac:dyDescent="0.3">
      <c r="A92" s="7" t="s">
        <v>22</v>
      </c>
      <c r="B92" s="8">
        <v>2020</v>
      </c>
      <c r="C92" s="8" t="s">
        <v>15</v>
      </c>
      <c r="D92" s="8">
        <v>70.39</v>
      </c>
      <c r="E92" s="8">
        <v>12.38</v>
      </c>
      <c r="F92" s="8">
        <v>9.3580000000000005</v>
      </c>
      <c r="G92" s="9">
        <v>599105.16321039631</v>
      </c>
    </row>
    <row r="93" spans="1:7" x14ac:dyDescent="0.3">
      <c r="A93" s="7" t="s">
        <v>23</v>
      </c>
      <c r="B93" s="8">
        <v>2020</v>
      </c>
      <c r="C93" s="8" t="s">
        <v>15</v>
      </c>
      <c r="D93" s="8">
        <v>69.59</v>
      </c>
      <c r="E93" s="8">
        <v>12.58</v>
      </c>
      <c r="F93" s="8">
        <v>7.8310000000000004</v>
      </c>
      <c r="G93" s="9">
        <v>394428.21031201654</v>
      </c>
    </row>
    <row r="94" spans="1:7" x14ac:dyDescent="0.3">
      <c r="A94" s="7" t="s">
        <v>24</v>
      </c>
      <c r="B94" s="8">
        <v>2020</v>
      </c>
      <c r="C94" s="8" t="s">
        <v>15</v>
      </c>
      <c r="D94" s="8">
        <v>69.34</v>
      </c>
      <c r="E94" s="8">
        <v>12.4</v>
      </c>
      <c r="F94" s="8">
        <v>7.3419999999999996</v>
      </c>
      <c r="G94" s="9">
        <v>372947.30914921989</v>
      </c>
    </row>
    <row r="95" spans="1:7" x14ac:dyDescent="0.3">
      <c r="A95" s="7" t="s">
        <v>18</v>
      </c>
      <c r="B95" s="8">
        <v>2020</v>
      </c>
      <c r="C95" s="8" t="s">
        <v>15</v>
      </c>
      <c r="D95" s="8">
        <v>72.569999999999993</v>
      </c>
      <c r="E95" s="8">
        <v>12.56</v>
      </c>
      <c r="F95" s="8">
        <v>10.32</v>
      </c>
      <c r="G95" s="9">
        <v>636788.22746027366</v>
      </c>
    </row>
    <row r="96" spans="1:7" x14ac:dyDescent="0.3">
      <c r="A96" s="7" t="s">
        <v>25</v>
      </c>
      <c r="B96" s="8">
        <v>2020</v>
      </c>
      <c r="C96" s="8" t="s">
        <v>15</v>
      </c>
      <c r="D96" s="8">
        <v>69.400000000000006</v>
      </c>
      <c r="E96" s="8">
        <v>11.73</v>
      </c>
      <c r="F96" s="8">
        <v>7.9779999999999998</v>
      </c>
      <c r="G96" s="9">
        <v>397994.0865783912</v>
      </c>
    </row>
    <row r="97" spans="1:7" x14ac:dyDescent="0.3">
      <c r="A97" s="7" t="s">
        <v>26</v>
      </c>
      <c r="B97" s="8">
        <v>2020</v>
      </c>
      <c r="C97" s="8" t="s">
        <v>15</v>
      </c>
      <c r="D97" s="8">
        <v>69.28</v>
      </c>
      <c r="E97" s="8">
        <v>12.71</v>
      </c>
      <c r="F97" s="8">
        <v>8.58</v>
      </c>
      <c r="G97" s="9">
        <v>423450.72154383687</v>
      </c>
    </row>
    <row r="98" spans="1:7" x14ac:dyDescent="0.3">
      <c r="A98" s="7" t="s">
        <v>27</v>
      </c>
      <c r="B98" s="8">
        <v>2020</v>
      </c>
      <c r="C98" s="8" t="s">
        <v>15</v>
      </c>
      <c r="D98" s="8">
        <v>69.819999999999993</v>
      </c>
      <c r="E98" s="8">
        <v>12.47</v>
      </c>
      <c r="F98" s="8">
        <v>8.1150000000000002</v>
      </c>
      <c r="G98" s="9">
        <v>434170.42759587563</v>
      </c>
    </row>
    <row r="99" spans="1:7" x14ac:dyDescent="0.3">
      <c r="A99" s="7" t="s">
        <v>28</v>
      </c>
      <c r="B99" s="8">
        <v>2020</v>
      </c>
      <c r="C99" s="8" t="s">
        <v>15</v>
      </c>
      <c r="D99" s="8">
        <v>69.61</v>
      </c>
      <c r="E99" s="8">
        <v>12.69</v>
      </c>
      <c r="F99" s="8">
        <v>7.8470000000000004</v>
      </c>
      <c r="G99" s="9">
        <v>413822.50389151654</v>
      </c>
    </row>
    <row r="100" spans="1:7" x14ac:dyDescent="0.3">
      <c r="A100" s="7" t="s">
        <v>29</v>
      </c>
      <c r="B100" s="8">
        <v>2020</v>
      </c>
      <c r="C100" s="8" t="s">
        <v>15</v>
      </c>
      <c r="D100" s="8">
        <v>70.400000000000006</v>
      </c>
      <c r="E100" s="8">
        <v>12.41</v>
      </c>
      <c r="F100" s="8">
        <v>8.1929999999999996</v>
      </c>
      <c r="G100" s="9">
        <v>458260.20103853394</v>
      </c>
    </row>
    <row r="101" spans="1:7" x14ac:dyDescent="0.3">
      <c r="A101" s="7" t="s">
        <v>30</v>
      </c>
      <c r="B101" s="8">
        <v>2020</v>
      </c>
      <c r="C101" s="8" t="s">
        <v>15</v>
      </c>
      <c r="D101" s="8">
        <v>71.400000000000006</v>
      </c>
      <c r="E101" s="8">
        <v>12.64</v>
      </c>
      <c r="F101" s="8">
        <v>8.0950000000000006</v>
      </c>
      <c r="G101" s="9">
        <v>417563.71663071477</v>
      </c>
    </row>
    <row r="102" spans="1:7" x14ac:dyDescent="0.3">
      <c r="A102" s="7" t="s">
        <v>31</v>
      </c>
      <c r="B102" s="8">
        <v>2020</v>
      </c>
      <c r="C102" s="8" t="s">
        <v>15</v>
      </c>
      <c r="D102" s="8">
        <v>68.430000000000007</v>
      </c>
      <c r="E102" s="8">
        <v>12.08</v>
      </c>
      <c r="F102" s="8">
        <v>7.6970000000000001</v>
      </c>
      <c r="G102" s="9">
        <v>378962.4589715373</v>
      </c>
    </row>
    <row r="103" spans="1:7" x14ac:dyDescent="0.3">
      <c r="A103" s="7" t="s">
        <v>32</v>
      </c>
      <c r="B103" s="8">
        <v>2020</v>
      </c>
      <c r="C103" s="8" t="s">
        <v>15</v>
      </c>
      <c r="D103" s="8">
        <v>71.040000000000006</v>
      </c>
      <c r="E103" s="8">
        <v>12.5</v>
      </c>
      <c r="F103" s="8">
        <v>7.9710000000000001</v>
      </c>
      <c r="G103" s="9">
        <v>449635.45179624867</v>
      </c>
    </row>
    <row r="104" spans="1:7" x14ac:dyDescent="0.3">
      <c r="A104" s="7" t="s">
        <v>16</v>
      </c>
      <c r="B104" s="8">
        <v>2021</v>
      </c>
      <c r="C104" s="8" t="s">
        <v>14</v>
      </c>
      <c r="D104" s="8">
        <v>69.73</v>
      </c>
      <c r="E104" s="8">
        <v>12.41</v>
      </c>
      <c r="F104" s="8">
        <v>6.8040000000000003</v>
      </c>
      <c r="G104" s="9">
        <v>167113.58827914653</v>
      </c>
    </row>
    <row r="105" spans="1:7" x14ac:dyDescent="0.3">
      <c r="A105" s="7" t="s">
        <v>17</v>
      </c>
      <c r="B105" s="8">
        <v>2021</v>
      </c>
      <c r="C105" s="8" t="s">
        <v>14</v>
      </c>
      <c r="D105" s="8">
        <v>73.61</v>
      </c>
      <c r="E105" s="8">
        <v>13.87</v>
      </c>
      <c r="F105" s="8">
        <v>10.19</v>
      </c>
      <c r="G105" s="9">
        <v>367849.44975727162</v>
      </c>
    </row>
    <row r="106" spans="1:7" x14ac:dyDescent="0.3">
      <c r="A106" s="7" t="s">
        <v>19</v>
      </c>
      <c r="B106" s="8">
        <v>2021</v>
      </c>
      <c r="C106" s="8" t="s">
        <v>14</v>
      </c>
      <c r="D106" s="8">
        <v>69.010000000000005</v>
      </c>
      <c r="E106" s="8">
        <v>13.43</v>
      </c>
      <c r="F106" s="8">
        <v>9.6649999999999991</v>
      </c>
      <c r="G106" s="9">
        <v>374905.40864662256</v>
      </c>
    </row>
    <row r="107" spans="1:7" x14ac:dyDescent="0.3">
      <c r="A107" s="7" t="s">
        <v>20</v>
      </c>
      <c r="B107" s="8">
        <v>2021</v>
      </c>
      <c r="C107" s="8" t="s">
        <v>14</v>
      </c>
      <c r="D107" s="8">
        <v>73.45</v>
      </c>
      <c r="E107" s="8">
        <v>13.72</v>
      </c>
      <c r="F107" s="8">
        <v>8.6929999999999996</v>
      </c>
      <c r="G107" s="9">
        <v>334177.98843515466</v>
      </c>
    </row>
    <row r="108" spans="1:7" x14ac:dyDescent="0.3">
      <c r="A108" s="7" t="s">
        <v>21</v>
      </c>
      <c r="B108" s="8">
        <v>2021</v>
      </c>
      <c r="C108" s="8" t="s">
        <v>14</v>
      </c>
      <c r="D108" s="8">
        <v>71.83</v>
      </c>
      <c r="E108" s="8">
        <v>13.15</v>
      </c>
      <c r="F108" s="8">
        <v>9.3949999999999996</v>
      </c>
      <c r="G108" s="9">
        <v>410622.27399440511</v>
      </c>
    </row>
    <row r="109" spans="1:7" x14ac:dyDescent="0.3">
      <c r="A109" s="7" t="s">
        <v>22</v>
      </c>
      <c r="B109" s="8">
        <v>2021</v>
      </c>
      <c r="C109" s="8" t="s">
        <v>14</v>
      </c>
      <c r="D109" s="8">
        <v>71.3</v>
      </c>
      <c r="E109" s="8">
        <v>13.23</v>
      </c>
      <c r="F109" s="8">
        <v>9.6780000000000008</v>
      </c>
      <c r="G109" s="9">
        <v>410622.27399440511</v>
      </c>
    </row>
    <row r="110" spans="1:7" x14ac:dyDescent="0.3">
      <c r="A110" s="7" t="s">
        <v>23</v>
      </c>
      <c r="B110" s="8">
        <v>2021</v>
      </c>
      <c r="C110" s="8" t="s">
        <v>14</v>
      </c>
      <c r="D110" s="8">
        <v>70.73</v>
      </c>
      <c r="E110" s="8">
        <v>13.43</v>
      </c>
      <c r="F110" s="8">
        <v>8.6809999999999992</v>
      </c>
      <c r="G110" s="9">
        <v>284198.73101562529</v>
      </c>
    </row>
    <row r="111" spans="1:7" x14ac:dyDescent="0.3">
      <c r="A111" s="7" t="s">
        <v>24</v>
      </c>
      <c r="B111" s="8">
        <v>2021</v>
      </c>
      <c r="C111" s="8" t="s">
        <v>14</v>
      </c>
      <c r="D111" s="8">
        <v>69.92</v>
      </c>
      <c r="E111" s="8">
        <v>13.27</v>
      </c>
      <c r="F111" s="8">
        <v>7.9370000000000003</v>
      </c>
      <c r="G111" s="9">
        <v>269259.00239127176</v>
      </c>
    </row>
    <row r="112" spans="1:7" x14ac:dyDescent="0.3">
      <c r="A112" s="7" t="s">
        <v>18</v>
      </c>
      <c r="B112" s="8">
        <v>2021</v>
      </c>
      <c r="C112" s="8" t="s">
        <v>14</v>
      </c>
      <c r="D112" s="8">
        <v>74.099999999999994</v>
      </c>
      <c r="E112" s="8">
        <v>13.23</v>
      </c>
      <c r="F112" s="8">
        <v>10.5</v>
      </c>
      <c r="G112" s="9">
        <v>421438.45415573934</v>
      </c>
    </row>
    <row r="113" spans="1:7" x14ac:dyDescent="0.3">
      <c r="A113" s="7" t="s">
        <v>25</v>
      </c>
      <c r="B113" s="8">
        <v>2021</v>
      </c>
      <c r="C113" s="8" t="s">
        <v>14</v>
      </c>
      <c r="D113" s="8">
        <v>70.73</v>
      </c>
      <c r="E113" s="8">
        <v>12.49</v>
      </c>
      <c r="F113" s="8">
        <v>8.5909999999999993</v>
      </c>
      <c r="G113" s="9">
        <v>289650.1312114803</v>
      </c>
    </row>
    <row r="114" spans="1:7" x14ac:dyDescent="0.3">
      <c r="A114" s="7" t="s">
        <v>26</v>
      </c>
      <c r="B114" s="8">
        <v>2021</v>
      </c>
      <c r="C114" s="8" t="s">
        <v>14</v>
      </c>
      <c r="D114" s="8">
        <v>71.069999999999993</v>
      </c>
      <c r="E114" s="8">
        <v>13.42</v>
      </c>
      <c r="F114" s="8">
        <v>9.2319999999999993</v>
      </c>
      <c r="G114" s="9">
        <v>307868.80995886103</v>
      </c>
    </row>
    <row r="115" spans="1:7" x14ac:dyDescent="0.3">
      <c r="A115" s="7" t="s">
        <v>27</v>
      </c>
      <c r="B115" s="8">
        <v>2021</v>
      </c>
      <c r="C115" s="8" t="s">
        <v>14</v>
      </c>
      <c r="D115" s="8">
        <v>70.89</v>
      </c>
      <c r="E115" s="8">
        <v>13.2</v>
      </c>
      <c r="F115" s="8">
        <v>8.5990000000000002</v>
      </c>
      <c r="G115" s="9">
        <v>303892.41797796765</v>
      </c>
    </row>
    <row r="116" spans="1:7" x14ac:dyDescent="0.3">
      <c r="A116" s="7" t="s">
        <v>28</v>
      </c>
      <c r="B116" s="8">
        <v>2021</v>
      </c>
      <c r="C116" s="8" t="s">
        <v>14</v>
      </c>
      <c r="D116" s="8">
        <v>70.7</v>
      </c>
      <c r="E116" s="8">
        <v>13.71</v>
      </c>
      <c r="F116" s="8">
        <v>8.8130000000000006</v>
      </c>
      <c r="G116" s="9">
        <v>295797.10125286697</v>
      </c>
    </row>
    <row r="117" spans="1:7" x14ac:dyDescent="0.3">
      <c r="A117" s="7" t="s">
        <v>29</v>
      </c>
      <c r="B117" s="8">
        <v>2021</v>
      </c>
      <c r="C117" s="8" t="s">
        <v>14</v>
      </c>
      <c r="D117" s="8">
        <v>71.95</v>
      </c>
      <c r="E117" s="8">
        <v>13.49</v>
      </c>
      <c r="F117" s="8">
        <v>9.0079999999999991</v>
      </c>
      <c r="G117" s="9">
        <v>335853.06257293886</v>
      </c>
    </row>
    <row r="118" spans="1:7" x14ac:dyDescent="0.3">
      <c r="A118" s="7" t="s">
        <v>30</v>
      </c>
      <c r="B118" s="8">
        <v>2021</v>
      </c>
      <c r="C118" s="8" t="s">
        <v>14</v>
      </c>
      <c r="D118" s="8">
        <v>73.099999999999994</v>
      </c>
      <c r="E118" s="8">
        <v>13.03</v>
      </c>
      <c r="F118" s="8">
        <v>8.9060000000000006</v>
      </c>
      <c r="G118" s="9">
        <v>310652.13542566996</v>
      </c>
    </row>
    <row r="119" spans="1:7" x14ac:dyDescent="0.3">
      <c r="A119" s="7" t="s">
        <v>31</v>
      </c>
      <c r="B119" s="8">
        <v>2021</v>
      </c>
      <c r="C119" s="8" t="s">
        <v>14</v>
      </c>
      <c r="D119" s="8">
        <v>69.790000000000006</v>
      </c>
      <c r="E119" s="8">
        <v>13.2</v>
      </c>
      <c r="F119" s="8">
        <v>8.4429999999999996</v>
      </c>
      <c r="G119" s="9">
        <v>278014.63342998084</v>
      </c>
    </row>
    <row r="120" spans="1:7" x14ac:dyDescent="0.3">
      <c r="A120" s="7" t="s">
        <v>32</v>
      </c>
      <c r="B120" s="8">
        <v>2021</v>
      </c>
      <c r="C120" s="8" t="s">
        <v>14</v>
      </c>
      <c r="D120" s="8">
        <v>72.739999999999995</v>
      </c>
      <c r="E120" s="8">
        <v>13.46</v>
      </c>
      <c r="F120" s="8">
        <v>8.9990000000000006</v>
      </c>
      <c r="G120" s="9">
        <v>319473.31542805868</v>
      </c>
    </row>
    <row r="121" spans="1:7" x14ac:dyDescent="0.3">
      <c r="A121" s="7" t="s">
        <v>16</v>
      </c>
      <c r="B121" s="8">
        <v>2021</v>
      </c>
      <c r="C121" s="8" t="s">
        <v>15</v>
      </c>
      <c r="D121" s="8">
        <v>65.760000000000005</v>
      </c>
      <c r="E121" s="8">
        <v>10.99</v>
      </c>
      <c r="F121" s="8">
        <v>6.242</v>
      </c>
      <c r="G121" s="9">
        <v>229676.9486594153</v>
      </c>
    </row>
    <row r="122" spans="1:7" x14ac:dyDescent="0.3">
      <c r="A122" s="7" t="s">
        <v>17</v>
      </c>
      <c r="B122" s="8">
        <v>2021</v>
      </c>
      <c r="C122" s="8" t="s">
        <v>15</v>
      </c>
      <c r="D122" s="8">
        <v>68.86</v>
      </c>
      <c r="E122" s="8">
        <v>13.06</v>
      </c>
      <c r="F122" s="8">
        <v>9.1999999999999993</v>
      </c>
      <c r="G122" s="9">
        <v>521481.47461614135</v>
      </c>
    </row>
    <row r="123" spans="1:7" x14ac:dyDescent="0.3">
      <c r="A123" s="7" t="s">
        <v>19</v>
      </c>
      <c r="B123" s="8">
        <v>2021</v>
      </c>
      <c r="C123" s="8" t="s">
        <v>15</v>
      </c>
      <c r="D123" s="8">
        <v>65.19</v>
      </c>
      <c r="E123" s="8">
        <v>12.51</v>
      </c>
      <c r="F123" s="8">
        <v>8.9779999999999998</v>
      </c>
      <c r="G123" s="9">
        <v>532016.09920251672</v>
      </c>
    </row>
    <row r="124" spans="1:7" x14ac:dyDescent="0.3">
      <c r="A124" s="7" t="s">
        <v>20</v>
      </c>
      <c r="B124" s="8">
        <v>2021</v>
      </c>
      <c r="C124" s="8" t="s">
        <v>15</v>
      </c>
      <c r="D124" s="8">
        <v>68.739999999999995</v>
      </c>
      <c r="E124" s="8">
        <v>12.81</v>
      </c>
      <c r="F124" s="8">
        <v>8.0619999999999994</v>
      </c>
      <c r="G124" s="9">
        <v>472328.04300293711</v>
      </c>
    </row>
    <row r="125" spans="1:7" x14ac:dyDescent="0.3">
      <c r="A125" s="7" t="s">
        <v>21</v>
      </c>
      <c r="B125" s="8">
        <v>2021</v>
      </c>
      <c r="C125" s="8" t="s">
        <v>15</v>
      </c>
      <c r="D125" s="8">
        <v>67.45</v>
      </c>
      <c r="E125" s="8">
        <v>12.44</v>
      </c>
      <c r="F125" s="8">
        <v>9.077</v>
      </c>
      <c r="G125" s="9">
        <v>584451.47076376237</v>
      </c>
    </row>
    <row r="126" spans="1:7" x14ac:dyDescent="0.3">
      <c r="A126" s="7" t="s">
        <v>22</v>
      </c>
      <c r="B126" s="8">
        <v>2021</v>
      </c>
      <c r="C126" s="8" t="s">
        <v>15</v>
      </c>
      <c r="D126" s="8">
        <v>67.03</v>
      </c>
      <c r="E126" s="8">
        <v>12.37</v>
      </c>
      <c r="F126" s="8">
        <v>9.3409999999999993</v>
      </c>
      <c r="G126" s="9">
        <v>584451.47076376237</v>
      </c>
    </row>
    <row r="127" spans="1:7" x14ac:dyDescent="0.3">
      <c r="A127" s="7" t="s">
        <v>23</v>
      </c>
      <c r="B127" s="8">
        <v>2021</v>
      </c>
      <c r="C127" s="8" t="s">
        <v>15</v>
      </c>
      <c r="D127" s="8">
        <v>66.569999999999993</v>
      </c>
      <c r="E127" s="8">
        <v>12.82</v>
      </c>
      <c r="F127" s="8">
        <v>7.8280000000000003</v>
      </c>
      <c r="G127" s="9">
        <v>398885.23763488262</v>
      </c>
    </row>
    <row r="128" spans="1:7" x14ac:dyDescent="0.3">
      <c r="A128" s="7" t="s">
        <v>24</v>
      </c>
      <c r="B128" s="8">
        <v>2021</v>
      </c>
      <c r="C128" s="8" t="s">
        <v>15</v>
      </c>
      <c r="D128" s="8">
        <v>65.92</v>
      </c>
      <c r="E128" s="8">
        <v>12.51</v>
      </c>
      <c r="F128" s="8">
        <v>7.2709999999999999</v>
      </c>
      <c r="G128" s="9">
        <v>377161.60291272192</v>
      </c>
    </row>
    <row r="129" spans="1:7" x14ac:dyDescent="0.3">
      <c r="A129" s="7" t="s">
        <v>18</v>
      </c>
      <c r="B129" s="8">
        <v>2021</v>
      </c>
      <c r="C129" s="8" t="s">
        <v>15</v>
      </c>
      <c r="D129" s="8">
        <v>69.260000000000005</v>
      </c>
      <c r="E129" s="8">
        <v>12.48</v>
      </c>
      <c r="F129" s="8">
        <v>10.210000000000001</v>
      </c>
      <c r="G129" s="9">
        <v>601047.37028720812</v>
      </c>
    </row>
    <row r="130" spans="1:7" x14ac:dyDescent="0.3">
      <c r="A130" s="7" t="s">
        <v>25</v>
      </c>
      <c r="B130" s="8">
        <v>2021</v>
      </c>
      <c r="C130" s="8" t="s">
        <v>15</v>
      </c>
      <c r="D130" s="8">
        <v>66.569999999999993</v>
      </c>
      <c r="E130" s="8">
        <v>11.49</v>
      </c>
      <c r="F130" s="8">
        <v>7.9189999999999996</v>
      </c>
      <c r="G130" s="9">
        <v>406943.25395199796</v>
      </c>
    </row>
    <row r="131" spans="1:7" x14ac:dyDescent="0.3">
      <c r="A131" s="7" t="s">
        <v>26</v>
      </c>
      <c r="B131" s="8">
        <v>2021</v>
      </c>
      <c r="C131" s="8" t="s">
        <v>15</v>
      </c>
      <c r="D131" s="8">
        <v>66.84</v>
      </c>
      <c r="E131" s="8">
        <v>12.84</v>
      </c>
      <c r="F131" s="8">
        <v>8.7319999999999993</v>
      </c>
      <c r="G131" s="9">
        <v>433405.48750299914</v>
      </c>
    </row>
    <row r="132" spans="1:7" x14ac:dyDescent="0.3">
      <c r="A132" s="7" t="s">
        <v>27</v>
      </c>
      <c r="B132" s="8">
        <v>2021</v>
      </c>
      <c r="C132" s="8" t="s">
        <v>15</v>
      </c>
      <c r="D132" s="8">
        <v>66.7</v>
      </c>
      <c r="E132" s="8">
        <v>12.55</v>
      </c>
      <c r="F132" s="8">
        <v>8.1440000000000001</v>
      </c>
      <c r="G132" s="9">
        <v>427380.08689675538</v>
      </c>
    </row>
    <row r="133" spans="1:7" x14ac:dyDescent="0.3">
      <c r="A133" s="7" t="s">
        <v>28</v>
      </c>
      <c r="B133" s="8">
        <v>2021</v>
      </c>
      <c r="C133" s="8" t="s">
        <v>15</v>
      </c>
      <c r="D133" s="8">
        <v>66.55</v>
      </c>
      <c r="E133" s="8">
        <v>12.65</v>
      </c>
      <c r="F133" s="8">
        <v>7.9359999999999999</v>
      </c>
      <c r="G133" s="9">
        <v>415995.21198460518</v>
      </c>
    </row>
    <row r="134" spans="1:7" x14ac:dyDescent="0.3">
      <c r="A134" s="7" t="s">
        <v>29</v>
      </c>
      <c r="B134" s="8">
        <v>2021</v>
      </c>
      <c r="C134" s="8" t="s">
        <v>15</v>
      </c>
      <c r="D134" s="8">
        <v>67.55</v>
      </c>
      <c r="E134" s="8">
        <v>12.48</v>
      </c>
      <c r="F134" s="8">
        <v>8.1780000000000008</v>
      </c>
      <c r="G134" s="9">
        <v>474221.1388425015</v>
      </c>
    </row>
    <row r="135" spans="1:7" x14ac:dyDescent="0.3">
      <c r="A135" s="7" t="s">
        <v>30</v>
      </c>
      <c r="B135" s="8">
        <v>2021</v>
      </c>
      <c r="C135" s="8" t="s">
        <v>15</v>
      </c>
      <c r="D135" s="8">
        <v>68.459999999999994</v>
      </c>
      <c r="E135" s="8">
        <v>12.43</v>
      </c>
      <c r="F135" s="8">
        <v>8.1379999999999999</v>
      </c>
      <c r="G135" s="9">
        <v>437761.2850675995</v>
      </c>
    </row>
    <row r="136" spans="1:7" x14ac:dyDescent="0.3">
      <c r="A136" s="7" t="s">
        <v>31</v>
      </c>
      <c r="B136" s="8">
        <v>2021</v>
      </c>
      <c r="C136" s="8" t="s">
        <v>15</v>
      </c>
      <c r="D136" s="8">
        <v>65.819999999999993</v>
      </c>
      <c r="E136" s="8">
        <v>12.09</v>
      </c>
      <c r="F136" s="8">
        <v>7.7130000000000001</v>
      </c>
      <c r="G136" s="9">
        <v>389815.57807155937</v>
      </c>
    </row>
    <row r="137" spans="1:7" x14ac:dyDescent="0.3">
      <c r="A137" s="7" t="s">
        <v>32</v>
      </c>
      <c r="B137" s="8">
        <v>2021</v>
      </c>
      <c r="C137" s="8" t="s">
        <v>15</v>
      </c>
      <c r="D137" s="8">
        <v>68.180000000000007</v>
      </c>
      <c r="E137" s="8">
        <v>12.56</v>
      </c>
      <c r="F137" s="8">
        <v>8.0020000000000007</v>
      </c>
      <c r="G137" s="9">
        <v>450642.23335762566</v>
      </c>
    </row>
    <row r="138" spans="1:7" x14ac:dyDescent="0.3">
      <c r="A138" s="7" t="s">
        <v>16</v>
      </c>
      <c r="B138" s="8">
        <v>2022</v>
      </c>
      <c r="C138" s="8" t="s">
        <v>14</v>
      </c>
      <c r="D138" s="8">
        <v>73.17</v>
      </c>
      <c r="E138" s="8">
        <v>12.56</v>
      </c>
      <c r="F138" s="8">
        <v>6.9290000000000003</v>
      </c>
      <c r="G138" s="9">
        <v>172766.36705170668</v>
      </c>
    </row>
    <row r="139" spans="1:7" x14ac:dyDescent="0.3">
      <c r="A139" s="7" t="s">
        <v>17</v>
      </c>
      <c r="B139" s="8">
        <v>2022</v>
      </c>
      <c r="C139" s="8" t="s">
        <v>14</v>
      </c>
      <c r="D139" s="8">
        <v>76.099999999999994</v>
      </c>
      <c r="E139" s="8">
        <v>13.8</v>
      </c>
      <c r="F139" s="8">
        <v>10.31</v>
      </c>
      <c r="G139" s="9">
        <v>369052.97680347349</v>
      </c>
    </row>
    <row r="140" spans="1:7" x14ac:dyDescent="0.3">
      <c r="A140" s="7" t="s">
        <v>19</v>
      </c>
      <c r="B140" s="8">
        <v>2022</v>
      </c>
      <c r="C140" s="8" t="s">
        <v>14</v>
      </c>
      <c r="D140" s="8">
        <v>71.040000000000006</v>
      </c>
      <c r="E140" s="8">
        <v>13.53</v>
      </c>
      <c r="F140" s="8">
        <v>9.6940000000000008</v>
      </c>
      <c r="G140" s="9">
        <v>372389.44518127316</v>
      </c>
    </row>
    <row r="141" spans="1:7" x14ac:dyDescent="0.3">
      <c r="A141" s="7" t="s">
        <v>20</v>
      </c>
      <c r="B141" s="8">
        <v>2022</v>
      </c>
      <c r="C141" s="8" t="s">
        <v>14</v>
      </c>
      <c r="D141" s="8">
        <v>76.53</v>
      </c>
      <c r="E141" s="8">
        <v>13.76</v>
      </c>
      <c r="F141" s="8">
        <v>8.7040000000000006</v>
      </c>
      <c r="G141" s="9">
        <v>340678.83556993428</v>
      </c>
    </row>
    <row r="142" spans="1:7" x14ac:dyDescent="0.3">
      <c r="A142" s="7" t="s">
        <v>21</v>
      </c>
      <c r="B142" s="8">
        <v>2022</v>
      </c>
      <c r="C142" s="8" t="s">
        <v>14</v>
      </c>
      <c r="D142" s="8">
        <v>74.19</v>
      </c>
      <c r="E142" s="8">
        <v>13.26</v>
      </c>
      <c r="F142" s="8">
        <v>9.4359999999999999</v>
      </c>
      <c r="G142" s="9">
        <v>403808.27654321614</v>
      </c>
    </row>
    <row r="143" spans="1:7" x14ac:dyDescent="0.3">
      <c r="A143" s="7" t="s">
        <v>22</v>
      </c>
      <c r="B143" s="8">
        <v>2022</v>
      </c>
      <c r="C143" s="8" t="s">
        <v>14</v>
      </c>
      <c r="D143" s="8">
        <v>73.62</v>
      </c>
      <c r="E143" s="8">
        <v>13.29</v>
      </c>
      <c r="F143" s="8">
        <v>9.65</v>
      </c>
      <c r="G143" s="9">
        <v>400190.30733701412</v>
      </c>
    </row>
    <row r="144" spans="1:7" x14ac:dyDescent="0.3">
      <c r="A144" s="7" t="s">
        <v>23</v>
      </c>
      <c r="B144" s="8">
        <v>2022</v>
      </c>
      <c r="C144" s="8" t="s">
        <v>14</v>
      </c>
      <c r="D144" s="8">
        <v>73.42</v>
      </c>
      <c r="E144" s="8">
        <v>13.46</v>
      </c>
      <c r="F144" s="8">
        <v>8.7129999999999992</v>
      </c>
      <c r="G144" s="9">
        <v>288282.29825008428</v>
      </c>
    </row>
    <row r="145" spans="1:7" x14ac:dyDescent="0.3">
      <c r="A145" s="7" t="s">
        <v>24</v>
      </c>
      <c r="B145" s="8">
        <v>2022</v>
      </c>
      <c r="C145" s="8" t="s">
        <v>14</v>
      </c>
      <c r="D145" s="8">
        <v>72.06</v>
      </c>
      <c r="E145" s="8">
        <v>13.27</v>
      </c>
      <c r="F145" s="8">
        <v>7.9279999999999999</v>
      </c>
      <c r="G145" s="9">
        <v>273127.90509825695</v>
      </c>
    </row>
    <row r="146" spans="1:7" x14ac:dyDescent="0.3">
      <c r="A146" s="7" t="s">
        <v>18</v>
      </c>
      <c r="B146" s="8">
        <v>2022</v>
      </c>
      <c r="C146" s="8" t="s">
        <v>14</v>
      </c>
      <c r="D146" s="8">
        <v>76.709999999999994</v>
      </c>
      <c r="E146" s="8">
        <v>13.15</v>
      </c>
      <c r="F146" s="8">
        <v>10.39</v>
      </c>
      <c r="G146" s="9">
        <v>397796.35453325737</v>
      </c>
    </row>
    <row r="147" spans="1:7" x14ac:dyDescent="0.3">
      <c r="A147" s="7" t="s">
        <v>25</v>
      </c>
      <c r="B147" s="8">
        <v>2022</v>
      </c>
      <c r="C147" s="8" t="s">
        <v>14</v>
      </c>
      <c r="D147" s="8">
        <v>73.66</v>
      </c>
      <c r="E147" s="8">
        <v>12.27</v>
      </c>
      <c r="F147" s="8">
        <v>8.5440000000000005</v>
      </c>
      <c r="G147" s="9">
        <v>296764.88797045173</v>
      </c>
    </row>
    <row r="148" spans="1:7" x14ac:dyDescent="0.3">
      <c r="A148" s="7" t="s">
        <v>26</v>
      </c>
      <c r="B148" s="8">
        <v>2022</v>
      </c>
      <c r="C148" s="8" t="s">
        <v>14</v>
      </c>
      <c r="D148" s="8">
        <v>74.510000000000005</v>
      </c>
      <c r="E148" s="8">
        <v>13.41</v>
      </c>
      <c r="F148" s="8">
        <v>9.3550000000000004</v>
      </c>
      <c r="G148" s="9">
        <v>315115.80377846456</v>
      </c>
    </row>
    <row r="149" spans="1:7" x14ac:dyDescent="0.3">
      <c r="A149" s="7" t="s">
        <v>27</v>
      </c>
      <c r="B149" s="8">
        <v>2022</v>
      </c>
      <c r="C149" s="8" t="s">
        <v>14</v>
      </c>
      <c r="D149" s="8">
        <v>73.48</v>
      </c>
      <c r="E149" s="8">
        <v>13.16</v>
      </c>
      <c r="F149" s="8">
        <v>8.6059999999999999</v>
      </c>
      <c r="G149" s="9">
        <v>300047.32202763093</v>
      </c>
    </row>
    <row r="150" spans="1:7" x14ac:dyDescent="0.3">
      <c r="A150" s="7" t="s">
        <v>28</v>
      </c>
      <c r="B150" s="8">
        <v>2022</v>
      </c>
      <c r="C150" s="8" t="s">
        <v>14</v>
      </c>
      <c r="D150" s="8">
        <v>73.34</v>
      </c>
      <c r="E150" s="8">
        <v>13.67</v>
      </c>
      <c r="F150" s="8">
        <v>8.8650000000000002</v>
      </c>
      <c r="G150" s="9">
        <v>297954.32481009729</v>
      </c>
    </row>
    <row r="151" spans="1:7" x14ac:dyDescent="0.3">
      <c r="A151" s="7" t="s">
        <v>29</v>
      </c>
      <c r="B151" s="8">
        <v>2022</v>
      </c>
      <c r="C151" s="8" t="s">
        <v>14</v>
      </c>
      <c r="D151" s="8">
        <v>74.959999999999994</v>
      </c>
      <c r="E151" s="8">
        <v>13.56</v>
      </c>
      <c r="F151" s="8">
        <v>9.0069999999999997</v>
      </c>
      <c r="G151" s="9">
        <v>347213.61728522449</v>
      </c>
    </row>
    <row r="152" spans="1:7" x14ac:dyDescent="0.3">
      <c r="A152" s="7" t="s">
        <v>30</v>
      </c>
      <c r="B152" s="8">
        <v>2022</v>
      </c>
      <c r="C152" s="8" t="s">
        <v>14</v>
      </c>
      <c r="D152" s="8">
        <v>76.09</v>
      </c>
      <c r="E152" s="8">
        <v>13.05</v>
      </c>
      <c r="F152" s="8">
        <v>8.9719999999999995</v>
      </c>
      <c r="G152" s="9">
        <v>325688.10891868989</v>
      </c>
    </row>
    <row r="153" spans="1:7" x14ac:dyDescent="0.3">
      <c r="A153" s="7" t="s">
        <v>31</v>
      </c>
      <c r="B153" s="8">
        <v>2022</v>
      </c>
      <c r="C153" s="8" t="s">
        <v>14</v>
      </c>
      <c r="D153" s="8">
        <v>72.91</v>
      </c>
      <c r="E153" s="8">
        <v>13.29</v>
      </c>
      <c r="F153" s="8">
        <v>8.49</v>
      </c>
      <c r="G153" s="9">
        <v>286557.78317933809</v>
      </c>
    </row>
    <row r="154" spans="1:7" x14ac:dyDescent="0.3">
      <c r="A154" s="7" t="s">
        <v>32</v>
      </c>
      <c r="B154" s="8">
        <v>2022</v>
      </c>
      <c r="C154" s="8" t="s">
        <v>14</v>
      </c>
      <c r="D154" s="8">
        <v>75.81</v>
      </c>
      <c r="E154" s="8">
        <v>13.53</v>
      </c>
      <c r="F154" s="8">
        <v>9.0519999999999996</v>
      </c>
      <c r="G154" s="9">
        <v>320839.24468254397</v>
      </c>
    </row>
    <row r="155" spans="1:7" x14ac:dyDescent="0.3">
      <c r="A155" s="7" t="s">
        <v>16</v>
      </c>
      <c r="B155" s="8">
        <v>2022</v>
      </c>
      <c r="C155" s="8" t="s">
        <v>15</v>
      </c>
      <c r="D155" s="8">
        <v>69.41</v>
      </c>
      <c r="E155" s="8">
        <v>11.05</v>
      </c>
      <c r="F155" s="8">
        <v>6.3780000000000001</v>
      </c>
      <c r="G155" s="9">
        <v>315115.80377846456</v>
      </c>
    </row>
    <row r="156" spans="1:7" x14ac:dyDescent="0.3">
      <c r="A156" s="7" t="s">
        <v>17</v>
      </c>
      <c r="B156" s="8">
        <v>2022</v>
      </c>
      <c r="C156" s="8" t="s">
        <v>15</v>
      </c>
      <c r="D156" s="8">
        <v>71.760000000000005</v>
      </c>
      <c r="E156" s="8">
        <v>13.2</v>
      </c>
      <c r="F156" s="8">
        <v>9.2550000000000008</v>
      </c>
      <c r="G156" s="9">
        <v>712614.21589675802</v>
      </c>
    </row>
    <row r="157" spans="1:7" x14ac:dyDescent="0.3">
      <c r="A157" s="7" t="s">
        <v>19</v>
      </c>
      <c r="B157" s="8">
        <v>2022</v>
      </c>
      <c r="C157" s="8" t="s">
        <v>15</v>
      </c>
      <c r="D157" s="8">
        <v>67.69</v>
      </c>
      <c r="E157" s="8">
        <v>12.53</v>
      </c>
      <c r="F157" s="8">
        <v>8.9689999999999994</v>
      </c>
      <c r="G157" s="9">
        <v>719056.69149336219</v>
      </c>
    </row>
    <row r="158" spans="1:7" x14ac:dyDescent="0.3">
      <c r="A158" s="7" t="s">
        <v>20</v>
      </c>
      <c r="B158" s="8">
        <v>2022</v>
      </c>
      <c r="C158" s="8" t="s">
        <v>15</v>
      </c>
      <c r="D158" s="8">
        <v>72.11</v>
      </c>
      <c r="E158" s="8">
        <v>13.08</v>
      </c>
      <c r="F158" s="8">
        <v>8.0589999999999993</v>
      </c>
      <c r="G158" s="9">
        <v>653237.12973513652</v>
      </c>
    </row>
    <row r="159" spans="1:7" x14ac:dyDescent="0.3">
      <c r="A159" s="7" t="s">
        <v>21</v>
      </c>
      <c r="B159" s="8">
        <v>2022</v>
      </c>
      <c r="C159" s="8" t="s">
        <v>15</v>
      </c>
      <c r="D159" s="8">
        <v>70.23</v>
      </c>
      <c r="E159" s="8">
        <v>12.58</v>
      </c>
      <c r="F159" s="8">
        <v>9.1170000000000009</v>
      </c>
      <c r="G159" s="9">
        <v>784416.55727931857</v>
      </c>
    </row>
    <row r="160" spans="1:7" x14ac:dyDescent="0.3">
      <c r="A160" s="7" t="s">
        <v>22</v>
      </c>
      <c r="B160" s="8">
        <v>2022</v>
      </c>
      <c r="C160" s="8" t="s">
        <v>15</v>
      </c>
      <c r="D160" s="8">
        <v>69.78</v>
      </c>
      <c r="E160" s="8">
        <v>12.36</v>
      </c>
      <c r="F160" s="8">
        <v>9.3249999999999993</v>
      </c>
      <c r="G160" s="9">
        <v>777388.48204181704</v>
      </c>
    </row>
    <row r="161" spans="1:7" x14ac:dyDescent="0.3">
      <c r="A161" s="7" t="s">
        <v>23</v>
      </c>
      <c r="B161" s="8">
        <v>2022</v>
      </c>
      <c r="C161" s="8" t="s">
        <v>15</v>
      </c>
      <c r="D161" s="8">
        <v>69.61</v>
      </c>
      <c r="E161" s="8">
        <v>13.05</v>
      </c>
      <c r="F161" s="8">
        <v>7.8250000000000002</v>
      </c>
      <c r="G161" s="9">
        <v>546175.41787673405</v>
      </c>
    </row>
    <row r="162" spans="1:7" x14ac:dyDescent="0.3">
      <c r="A162" s="7" t="s">
        <v>24</v>
      </c>
      <c r="B162" s="8">
        <v>2022</v>
      </c>
      <c r="C162" s="8" t="s">
        <v>15</v>
      </c>
      <c r="D162" s="8">
        <v>68.510000000000005</v>
      </c>
      <c r="E162" s="8">
        <v>12.62</v>
      </c>
      <c r="F162" s="8">
        <v>7.2009999999999996</v>
      </c>
      <c r="G162" s="9">
        <v>515398.4043706517</v>
      </c>
    </row>
    <row r="163" spans="1:7" x14ac:dyDescent="0.3">
      <c r="A163" s="7" t="s">
        <v>18</v>
      </c>
      <c r="B163" s="8">
        <v>2022</v>
      </c>
      <c r="C163" s="8" t="s">
        <v>15</v>
      </c>
      <c r="D163" s="8">
        <v>72.25</v>
      </c>
      <c r="E163" s="8">
        <v>12.4</v>
      </c>
      <c r="F163" s="8">
        <v>10.1</v>
      </c>
      <c r="G163" s="9">
        <v>771965.76432228892</v>
      </c>
    </row>
    <row r="164" spans="1:7" x14ac:dyDescent="0.3">
      <c r="A164" s="7" t="s">
        <v>25</v>
      </c>
      <c r="B164" s="8">
        <v>2022</v>
      </c>
      <c r="C164" s="8" t="s">
        <v>15</v>
      </c>
      <c r="D164" s="8">
        <v>69.8</v>
      </c>
      <c r="E164" s="8">
        <v>11.27</v>
      </c>
      <c r="F164" s="8">
        <v>7.86</v>
      </c>
      <c r="G164" s="9">
        <v>563935.67992506607</v>
      </c>
    </row>
    <row r="165" spans="1:7" x14ac:dyDescent="0.3">
      <c r="A165" s="7" t="s">
        <v>26</v>
      </c>
      <c r="B165" s="8">
        <v>2022</v>
      </c>
      <c r="C165" s="8" t="s">
        <v>15</v>
      </c>
      <c r="D165" s="8">
        <v>70.489999999999995</v>
      </c>
      <c r="E165" s="8">
        <v>12.97</v>
      </c>
      <c r="F165" s="8">
        <v>8.8829999999999991</v>
      </c>
      <c r="G165" s="9">
        <v>601207.54175851424</v>
      </c>
    </row>
    <row r="166" spans="1:7" x14ac:dyDescent="0.3">
      <c r="A166" s="7" t="s">
        <v>27</v>
      </c>
      <c r="B166" s="8">
        <v>2022</v>
      </c>
      <c r="C166" s="8" t="s">
        <v>15</v>
      </c>
      <c r="D166" s="8">
        <v>69.66</v>
      </c>
      <c r="E166" s="8">
        <v>12.63</v>
      </c>
      <c r="F166" s="8">
        <v>8.1720000000000006</v>
      </c>
      <c r="G166" s="9">
        <v>570173.21595739096</v>
      </c>
    </row>
    <row r="167" spans="1:7" x14ac:dyDescent="0.3">
      <c r="A167" s="7" t="s">
        <v>28</v>
      </c>
      <c r="B167" s="8">
        <v>2022</v>
      </c>
      <c r="C167" s="8" t="s">
        <v>15</v>
      </c>
      <c r="D167" s="8">
        <v>69.55</v>
      </c>
      <c r="E167" s="8">
        <v>12.61</v>
      </c>
      <c r="F167" s="8">
        <v>8.0250000000000004</v>
      </c>
      <c r="G167" s="9">
        <v>566195.94015153951</v>
      </c>
    </row>
    <row r="168" spans="1:7" x14ac:dyDescent="0.3">
      <c r="A168" s="7" t="s">
        <v>29</v>
      </c>
      <c r="B168" s="8">
        <v>2022</v>
      </c>
      <c r="C168" s="8" t="s">
        <v>15</v>
      </c>
      <c r="D168" s="8">
        <v>70.849999999999994</v>
      </c>
      <c r="E168" s="8">
        <v>12.54</v>
      </c>
      <c r="F168" s="8">
        <v>8.1630000000000003</v>
      </c>
      <c r="G168" s="9">
        <v>667100.16183392587</v>
      </c>
    </row>
    <row r="169" spans="1:7" x14ac:dyDescent="0.3">
      <c r="A169" s="7" t="s">
        <v>30</v>
      </c>
      <c r="B169" s="8">
        <v>2022</v>
      </c>
      <c r="C169" s="8" t="s">
        <v>15</v>
      </c>
      <c r="D169" s="8">
        <v>71.75</v>
      </c>
      <c r="E169" s="8">
        <v>12.24</v>
      </c>
      <c r="F169" s="8">
        <v>8.1809999999999992</v>
      </c>
      <c r="G169" s="9">
        <v>622622.37932408985</v>
      </c>
    </row>
    <row r="170" spans="1:7" x14ac:dyDescent="0.3">
      <c r="A170" s="7" t="s">
        <v>31</v>
      </c>
      <c r="B170" s="8">
        <v>2022</v>
      </c>
      <c r="C170" s="8" t="s">
        <v>15</v>
      </c>
      <c r="D170" s="8">
        <v>69.2</v>
      </c>
      <c r="E170" s="8">
        <v>12.1</v>
      </c>
      <c r="F170" s="8">
        <v>7.73</v>
      </c>
      <c r="G170" s="9">
        <v>542908.17689413845</v>
      </c>
    </row>
    <row r="171" spans="1:7" x14ac:dyDescent="0.3">
      <c r="A171" s="10" t="s">
        <v>32</v>
      </c>
      <c r="B171" s="11">
        <v>2022</v>
      </c>
      <c r="C171" s="11" t="s">
        <v>15</v>
      </c>
      <c r="D171" s="11">
        <v>71.53</v>
      </c>
      <c r="E171" s="11">
        <v>12.62</v>
      </c>
      <c r="F171" s="11">
        <v>8.0329999999999995</v>
      </c>
      <c r="G171" s="12">
        <v>612739.69357066171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5B559-6FD9-4F2D-85D3-12074E9116E6}">
  <sheetPr codeName="Sheet6">
    <tabColor rgb="FFFFFF00"/>
  </sheetPr>
  <dimension ref="G1:R90"/>
  <sheetViews>
    <sheetView showGridLines="0" showRowColHeaders="0" zoomScaleNormal="100" workbookViewId="0"/>
  </sheetViews>
  <sheetFormatPr defaultRowHeight="14.4" x14ac:dyDescent="0.3"/>
  <cols>
    <col min="1" max="1" width="2.5546875" style="56" customWidth="1"/>
    <col min="2" max="2" width="12.21875" style="56" bestFit="1" customWidth="1"/>
    <col min="3" max="3" width="9.77734375" style="56" bestFit="1" customWidth="1"/>
    <col min="4" max="4" width="9" style="56" bestFit="1" customWidth="1"/>
    <col min="5" max="5" width="16.21875" style="56" bestFit="1" customWidth="1"/>
    <col min="6" max="6" width="11.77734375" style="56" bestFit="1" customWidth="1"/>
    <col min="7" max="7" width="15" style="56" bestFit="1" customWidth="1"/>
    <col min="8" max="8" width="24" style="56" bestFit="1" customWidth="1"/>
    <col min="9" max="10" width="15" style="56" bestFit="1" customWidth="1"/>
    <col min="11" max="11" width="15.109375" style="56" bestFit="1" customWidth="1"/>
    <col min="12" max="13" width="18.77734375" style="56" bestFit="1" customWidth="1"/>
    <col min="14" max="14" width="12.6640625" style="56" bestFit="1" customWidth="1"/>
    <col min="15" max="15" width="9.21875" style="56" bestFit="1" customWidth="1"/>
    <col min="16" max="16" width="1.6640625" style="56" customWidth="1"/>
    <col min="17" max="17" width="9.77734375" style="56" bestFit="1" customWidth="1"/>
    <col min="18" max="18" width="16.21875" style="56" bestFit="1" customWidth="1"/>
    <col min="19" max="22" width="8.88671875" style="56"/>
    <col min="23" max="23" width="19.88671875" style="56" bestFit="1" customWidth="1"/>
    <col min="24" max="16384" width="8.88671875" style="56"/>
  </cols>
  <sheetData>
    <row r="1" spans="7:18" s="55" customFormat="1" ht="59.4" customHeight="1" x14ac:dyDescent="0.3">
      <c r="G1" s="50"/>
      <c r="H1" s="51"/>
      <c r="I1" s="51"/>
      <c r="J1" s="51"/>
      <c r="K1" s="50"/>
      <c r="L1" s="52"/>
      <c r="M1" s="53"/>
      <c r="N1" s="50"/>
      <c r="O1" s="54"/>
      <c r="R1" s="52"/>
    </row>
    <row r="2" spans="7:18" ht="18" customHeight="1" x14ac:dyDescent="0.3"/>
    <row r="3" spans="7:18" ht="43.8" x14ac:dyDescent="0.65">
      <c r="H3" s="66" t="s">
        <v>80</v>
      </c>
    </row>
    <row r="30" spans="8:8" ht="43.8" x14ac:dyDescent="0.65">
      <c r="H30" s="66" t="s">
        <v>79</v>
      </c>
    </row>
    <row r="90" spans="13:13" x14ac:dyDescent="0.3">
      <c r="M90" s="6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8F28-913C-49E4-A7B5-8F6581C58144}">
  <sheetPr codeName="Sheet5">
    <tabColor rgb="FFFFC000"/>
  </sheetPr>
  <dimension ref="B1:DE95"/>
  <sheetViews>
    <sheetView showGridLines="0" showRowColHeaders="0" tabSelected="1" zoomScaleNormal="100" zoomScaleSheetLayoutView="70" workbookViewId="0"/>
  </sheetViews>
  <sheetFormatPr defaultRowHeight="15.6" x14ac:dyDescent="0.3"/>
  <cols>
    <col min="1" max="1" width="5.33203125" style="58" customWidth="1"/>
    <col min="2" max="2" width="12.5546875" style="58" bestFit="1" customWidth="1"/>
    <col min="3" max="3" width="13.6640625" style="58" bestFit="1" customWidth="1"/>
    <col min="4" max="5" width="12" style="58" bestFit="1" customWidth="1"/>
    <col min="6" max="6" width="13.6640625" style="58" bestFit="1" customWidth="1"/>
    <col min="7" max="7" width="15.5546875" style="58" bestFit="1" customWidth="1"/>
    <col min="8" max="9" width="5.5546875" style="58" bestFit="1" customWidth="1"/>
    <col min="10" max="10" width="7.77734375" style="58" customWidth="1"/>
    <col min="11" max="11" width="8.33203125" style="58" bestFit="1" customWidth="1"/>
    <col min="12" max="12" width="8.88671875" style="58" bestFit="1" customWidth="1"/>
    <col min="13" max="13" width="10.21875" style="58" bestFit="1" customWidth="1"/>
    <col min="14" max="14" width="10.109375" style="58" bestFit="1" customWidth="1"/>
    <col min="15" max="15" width="8.88671875" style="58" bestFit="1" customWidth="1"/>
    <col min="16" max="16" width="8.44140625" style="58" bestFit="1" customWidth="1"/>
    <col min="17" max="17" width="9" style="58" bestFit="1" customWidth="1"/>
    <col min="18" max="18" width="9.5546875" style="58" bestFit="1" customWidth="1"/>
    <col min="19" max="19" width="10.109375" style="58" bestFit="1" customWidth="1"/>
    <col min="20" max="20" width="8.33203125" style="58" bestFit="1" customWidth="1"/>
    <col min="21" max="21" width="8.88671875" style="58" bestFit="1" customWidth="1"/>
    <col min="22" max="22" width="9.44140625" style="58" bestFit="1" customWidth="1"/>
    <col min="23" max="23" width="10" style="58" bestFit="1" customWidth="1"/>
    <col min="24" max="24" width="10.77734375" style="58" bestFit="1" customWidth="1"/>
    <col min="25" max="25" width="7.33203125" style="58" bestFit="1" customWidth="1"/>
    <col min="26" max="27" width="5.5546875" style="58" bestFit="1" customWidth="1"/>
    <col min="28" max="28" width="7.77734375" style="58" bestFit="1" customWidth="1"/>
    <col min="29" max="29" width="8.33203125" style="58" bestFit="1" customWidth="1"/>
    <col min="30" max="30" width="8.88671875" style="58" bestFit="1" customWidth="1"/>
    <col min="31" max="31" width="10.21875" style="58" bestFit="1" customWidth="1"/>
    <col min="32" max="32" width="10.109375" style="58" bestFit="1" customWidth="1"/>
    <col min="33" max="33" width="8.88671875" style="58" bestFit="1" customWidth="1"/>
    <col min="34" max="34" width="8.44140625" style="58" bestFit="1" customWidth="1"/>
    <col min="35" max="35" width="9" style="58" bestFit="1" customWidth="1"/>
    <col min="36" max="36" width="9.5546875" style="58" bestFit="1" customWidth="1"/>
    <col min="37" max="37" width="10.109375" style="58" bestFit="1" customWidth="1"/>
    <col min="38" max="38" width="8.33203125" style="58" bestFit="1" customWidth="1"/>
    <col min="39" max="39" width="8.88671875" style="58" bestFit="1" customWidth="1"/>
    <col min="40" max="40" width="9.44140625" style="58" bestFit="1" customWidth="1"/>
    <col min="41" max="41" width="10" style="58" bestFit="1" customWidth="1"/>
    <col min="42" max="42" width="9.88671875" style="58" bestFit="1" customWidth="1"/>
    <col min="43" max="43" width="10.77734375" style="58" bestFit="1" customWidth="1"/>
    <col min="44" max="47" width="5.5546875" style="58" bestFit="1" customWidth="1"/>
    <col min="48" max="48" width="15" style="58" bestFit="1" customWidth="1"/>
    <col min="49" max="49" width="12.21875" style="58" bestFit="1" customWidth="1"/>
    <col min="50" max="53" width="5.5546875" style="58" bestFit="1" customWidth="1"/>
    <col min="54" max="54" width="14.88671875" style="58" bestFit="1" customWidth="1"/>
    <col min="55" max="55" width="11" style="58" bestFit="1" customWidth="1"/>
    <col min="56" max="59" width="5.5546875" style="58" bestFit="1" customWidth="1"/>
    <col min="60" max="60" width="13.6640625" style="58" bestFit="1" customWidth="1"/>
    <col min="61" max="61" width="10.5546875" style="58" bestFit="1" customWidth="1"/>
    <col min="62" max="65" width="5.5546875" style="58" bestFit="1" customWidth="1"/>
    <col min="66" max="66" width="13.21875" style="58" bestFit="1" customWidth="1"/>
    <col min="67" max="67" width="11.109375" style="58" bestFit="1" customWidth="1"/>
    <col min="68" max="71" width="5.5546875" style="58" bestFit="1" customWidth="1"/>
    <col min="72" max="72" width="13.77734375" style="58" bestFit="1" customWidth="1"/>
    <col min="73" max="73" width="11.6640625" style="58" bestFit="1" customWidth="1"/>
    <col min="74" max="77" width="5.5546875" style="58" bestFit="1" customWidth="1"/>
    <col min="78" max="78" width="14.33203125" style="58" bestFit="1" customWidth="1"/>
    <col min="79" max="79" width="12.21875" style="58" bestFit="1" customWidth="1"/>
    <col min="80" max="83" width="5.5546875" style="58" bestFit="1" customWidth="1"/>
    <col min="84" max="84" width="14.88671875" style="58" bestFit="1" customWidth="1"/>
    <col min="85" max="85" width="10.44140625" style="58" bestFit="1" customWidth="1"/>
    <col min="86" max="89" width="5.5546875" style="58" bestFit="1" customWidth="1"/>
    <col min="90" max="90" width="13.109375" style="58" bestFit="1" customWidth="1"/>
    <col min="91" max="91" width="11" style="58" bestFit="1" customWidth="1"/>
    <col min="92" max="95" width="5.5546875" style="58" bestFit="1" customWidth="1"/>
    <col min="96" max="96" width="13.6640625" style="58" bestFit="1" customWidth="1"/>
    <col min="97" max="97" width="11.5546875" style="58" bestFit="1" customWidth="1"/>
    <col min="98" max="101" width="5.5546875" style="58" bestFit="1" customWidth="1"/>
    <col min="102" max="102" width="14.21875" style="58" bestFit="1" customWidth="1"/>
    <col min="103" max="103" width="12.109375" style="58" bestFit="1" customWidth="1"/>
    <col min="104" max="107" width="5.5546875" style="58" bestFit="1" customWidth="1"/>
    <col min="108" max="108" width="14.77734375" style="58" bestFit="1" customWidth="1"/>
    <col min="109" max="109" width="10.77734375" style="58" bestFit="1" customWidth="1"/>
    <col min="110" max="172" width="5.5546875" style="58" bestFit="1" customWidth="1"/>
    <col min="173" max="173" width="10.77734375" style="58" bestFit="1" customWidth="1"/>
    <col min="174" max="16384" width="8.88671875" style="58"/>
  </cols>
  <sheetData>
    <row r="1" spans="2:109" s="55" customFormat="1" ht="59.4" customHeight="1" x14ac:dyDescent="0.3">
      <c r="G1" s="50"/>
      <c r="H1" s="51"/>
      <c r="I1" s="51"/>
      <c r="J1" s="51"/>
      <c r="K1" s="50"/>
      <c r="L1" s="52"/>
      <c r="M1" s="53"/>
      <c r="N1" s="50"/>
      <c r="O1" s="54"/>
      <c r="R1" s="52"/>
    </row>
    <row r="2" spans="2:109" s="55" customFormat="1" ht="15" customHeight="1" x14ac:dyDescent="0.3">
      <c r="G2" s="50"/>
      <c r="H2" s="51"/>
      <c r="I2" s="51"/>
      <c r="J2" s="51"/>
      <c r="K2" s="50"/>
      <c r="L2" s="52"/>
      <c r="M2" s="53"/>
      <c r="N2" s="50"/>
      <c r="O2" s="54"/>
      <c r="R2" s="52"/>
    </row>
    <row r="3" spans="2:109" ht="23.4" x14ac:dyDescent="0.45">
      <c r="B3" s="57" t="s">
        <v>72</v>
      </c>
      <c r="F3" s="59" t="s">
        <v>74</v>
      </c>
      <c r="J3" s="60" t="s">
        <v>75</v>
      </c>
    </row>
    <row r="4" spans="2:109" x14ac:dyDescent="0.3">
      <c r="B4" s="58" t="s">
        <v>69</v>
      </c>
      <c r="C4" s="58" t="s">
        <v>71</v>
      </c>
      <c r="F4" s="56" t="s">
        <v>69</v>
      </c>
      <c r="G4" s="56" t="s">
        <v>71</v>
      </c>
      <c r="J4" s="56" t="s">
        <v>69</v>
      </c>
      <c r="K4" s="56" t="s">
        <v>71</v>
      </c>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row>
    <row r="5" spans="2:109" x14ac:dyDescent="0.3">
      <c r="B5" s="61" t="s">
        <v>16</v>
      </c>
      <c r="C5" s="62">
        <v>0.60870235320734778</v>
      </c>
      <c r="F5" s="63" t="s">
        <v>14</v>
      </c>
      <c r="G5" s="64">
        <v>0.70028165640753304</v>
      </c>
      <c r="J5" s="63">
        <v>2018</v>
      </c>
      <c r="K5" s="64">
        <v>0.69179443247736327</v>
      </c>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row>
    <row r="6" spans="2:109" x14ac:dyDescent="0.3">
      <c r="B6" s="61" t="s">
        <v>31</v>
      </c>
      <c r="C6" s="62">
        <v>0.66885668490130057</v>
      </c>
      <c r="F6" s="63" t="s">
        <v>15</v>
      </c>
      <c r="G6" s="64">
        <v>0.68829623781924509</v>
      </c>
      <c r="J6" s="63">
        <v>2019</v>
      </c>
      <c r="K6" s="64">
        <v>0.70117025696251201</v>
      </c>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row>
    <row r="7" spans="2:109" x14ac:dyDescent="0.3">
      <c r="B7" s="61" t="s">
        <v>24</v>
      </c>
      <c r="C7" s="62">
        <v>0.67020433977863025</v>
      </c>
      <c r="F7" s="63" t="s">
        <v>70</v>
      </c>
      <c r="G7" s="64">
        <v>0.69428894711338962</v>
      </c>
      <c r="J7" s="63">
        <v>2020</v>
      </c>
      <c r="K7" s="64">
        <v>0.69425392030199617</v>
      </c>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row>
    <row r="8" spans="2:109" x14ac:dyDescent="0.3">
      <c r="B8" s="61" t="s">
        <v>25</v>
      </c>
      <c r="C8" s="62">
        <v>0.67580904078597648</v>
      </c>
      <c r="J8" s="63">
        <v>2021</v>
      </c>
      <c r="K8" s="64">
        <v>0.68452476939227747</v>
      </c>
    </row>
    <row r="9" spans="2:109" x14ac:dyDescent="0.3">
      <c r="B9" s="61" t="s">
        <v>23</v>
      </c>
      <c r="C9" s="62">
        <v>0.68310310625045323</v>
      </c>
      <c r="J9" s="63">
        <v>2022</v>
      </c>
      <c r="K9" s="64">
        <v>0.69970135643279674</v>
      </c>
    </row>
    <row r="10" spans="2:109" x14ac:dyDescent="0.3">
      <c r="B10" s="61" t="s">
        <v>28</v>
      </c>
      <c r="C10" s="62">
        <v>0.68874694836904349</v>
      </c>
      <c r="J10" s="63" t="s">
        <v>70</v>
      </c>
      <c r="K10" s="64">
        <v>0.69428894711338918</v>
      </c>
    </row>
    <row r="11" spans="2:109" x14ac:dyDescent="0.3">
      <c r="B11" s="61" t="s">
        <v>27</v>
      </c>
      <c r="C11" s="62">
        <v>0.68929910789260251</v>
      </c>
    </row>
    <row r="12" spans="2:109" ht="23.4" x14ac:dyDescent="0.45">
      <c r="B12" s="61" t="s">
        <v>26</v>
      </c>
      <c r="C12" s="62">
        <v>0.69322840449236911</v>
      </c>
      <c r="F12" s="57" t="s">
        <v>76</v>
      </c>
    </row>
    <row r="13" spans="2:109" x14ac:dyDescent="0.3">
      <c r="B13" s="61" t="s">
        <v>30</v>
      </c>
      <c r="C13" s="62">
        <v>0.69613645317612938</v>
      </c>
      <c r="F13" s="56" t="s">
        <v>71</v>
      </c>
      <c r="G13" s="56" t="s">
        <v>73</v>
      </c>
      <c r="H13" s="56"/>
      <c r="I13" s="56"/>
      <c r="J13" s="56"/>
      <c r="K13" s="56"/>
      <c r="L13" s="56"/>
      <c r="M13" s="56"/>
      <c r="N13" s="56"/>
      <c r="O13" s="56"/>
      <c r="P13" s="56"/>
      <c r="Q13" s="56"/>
      <c r="R13" s="56"/>
      <c r="S13" s="56"/>
      <c r="T13" s="56"/>
      <c r="U13" s="56"/>
      <c r="V13" s="56"/>
      <c r="W13" s="56"/>
      <c r="X13" s="56"/>
    </row>
    <row r="14" spans="2:109" x14ac:dyDescent="0.3">
      <c r="B14" s="61" t="s">
        <v>29</v>
      </c>
      <c r="C14" s="62">
        <v>0.69838352137533843</v>
      </c>
      <c r="F14" s="56" t="s">
        <v>69</v>
      </c>
      <c r="G14" s="56" t="s">
        <v>16</v>
      </c>
      <c r="H14" s="56" t="s">
        <v>17</v>
      </c>
      <c r="I14" s="56" t="s">
        <v>18</v>
      </c>
      <c r="J14" s="56" t="s">
        <v>19</v>
      </c>
      <c r="K14" s="56" t="s">
        <v>20</v>
      </c>
      <c r="L14" s="56" t="s">
        <v>21</v>
      </c>
      <c r="M14" s="56" t="s">
        <v>22</v>
      </c>
      <c r="N14" s="56" t="s">
        <v>23</v>
      </c>
      <c r="O14" s="56" t="s">
        <v>24</v>
      </c>
      <c r="P14" s="56" t="s">
        <v>25</v>
      </c>
      <c r="Q14" s="56" t="s">
        <v>26</v>
      </c>
      <c r="R14" s="56" t="s">
        <v>27</v>
      </c>
      <c r="S14" s="56" t="s">
        <v>28</v>
      </c>
      <c r="T14" s="56" t="s">
        <v>29</v>
      </c>
      <c r="U14" s="56" t="s">
        <v>30</v>
      </c>
      <c r="V14" s="56" t="s">
        <v>31</v>
      </c>
      <c r="W14" s="56" t="s">
        <v>32</v>
      </c>
      <c r="X14" s="56" t="s">
        <v>70</v>
      </c>
    </row>
    <row r="15" spans="2:109" x14ac:dyDescent="0.3">
      <c r="B15" s="61" t="s">
        <v>32</v>
      </c>
      <c r="C15" s="62">
        <v>0.69922564714200308</v>
      </c>
      <c r="F15" s="63">
        <v>2018</v>
      </c>
      <c r="G15" s="64">
        <v>0.59445865854215896</v>
      </c>
      <c r="H15" s="64">
        <v>0.7303097725859844</v>
      </c>
      <c r="I15" s="64">
        <v>0.76057534848889918</v>
      </c>
      <c r="J15" s="64">
        <v>0.70980604789351287</v>
      </c>
      <c r="K15" s="64">
        <v>0.69631710687435111</v>
      </c>
      <c r="L15" s="64">
        <v>0.71915100603166593</v>
      </c>
      <c r="M15" s="64">
        <v>0.72728485430873657</v>
      </c>
      <c r="N15" s="64">
        <v>0.67862024422773537</v>
      </c>
      <c r="O15" s="64">
        <v>0.67288430872297789</v>
      </c>
      <c r="P15" s="64">
        <v>0.6776058521834547</v>
      </c>
      <c r="Q15" s="64">
        <v>0.68002033974729348</v>
      </c>
      <c r="R15" s="64">
        <v>0.69070046767700277</v>
      </c>
      <c r="S15" s="64">
        <v>0.68763558358460375</v>
      </c>
      <c r="T15" s="64">
        <v>0.69100403790835185</v>
      </c>
      <c r="U15" s="64">
        <v>0.68992623787728191</v>
      </c>
      <c r="V15" s="64">
        <v>0.66015587687060395</v>
      </c>
      <c r="W15" s="64">
        <v>0.69404960859056219</v>
      </c>
      <c r="X15" s="64">
        <v>0.69179443247736339</v>
      </c>
    </row>
    <row r="16" spans="2:109" x14ac:dyDescent="0.3">
      <c r="B16" s="61" t="s">
        <v>20</v>
      </c>
      <c r="C16" s="62">
        <v>0.70431594327362634</v>
      </c>
      <c r="F16" s="63">
        <v>2019</v>
      </c>
      <c r="G16" s="64">
        <v>0.60895235317506669</v>
      </c>
      <c r="H16" s="64">
        <v>0.73934465462413901</v>
      </c>
      <c r="I16" s="64">
        <v>0.76345540124082734</v>
      </c>
      <c r="J16" s="64">
        <v>0.71608447522181984</v>
      </c>
      <c r="K16" s="64">
        <v>0.70856504149635025</v>
      </c>
      <c r="L16" s="64">
        <v>0.72734896343631561</v>
      </c>
      <c r="M16" s="64">
        <v>0.7330211461886903</v>
      </c>
      <c r="N16" s="64">
        <v>0.68893631483799045</v>
      </c>
      <c r="O16" s="64">
        <v>0.67944865673137089</v>
      </c>
      <c r="P16" s="64">
        <v>0.68459662433082646</v>
      </c>
      <c r="Q16" s="64">
        <v>0.6947761525201428</v>
      </c>
      <c r="R16" s="64">
        <v>0.69803907508683483</v>
      </c>
      <c r="S16" s="64">
        <v>0.69623935135732995</v>
      </c>
      <c r="T16" s="64">
        <v>0.70285178790063629</v>
      </c>
      <c r="U16" s="64">
        <v>0.70109402544505817</v>
      </c>
      <c r="V16" s="64">
        <v>0.67235084788942689</v>
      </c>
      <c r="W16" s="64">
        <v>0.70478949687987669</v>
      </c>
      <c r="X16" s="64">
        <v>0.7011702569625119</v>
      </c>
    </row>
    <row r="17" spans="2:24" x14ac:dyDescent="0.3">
      <c r="B17" s="61" t="s">
        <v>19</v>
      </c>
      <c r="C17" s="62">
        <v>0.70586810306812597</v>
      </c>
      <c r="F17" s="63">
        <v>2020</v>
      </c>
      <c r="G17" s="64">
        <v>0.60842271814505944</v>
      </c>
      <c r="H17" s="64">
        <v>0.73135991336850958</v>
      </c>
      <c r="I17" s="64">
        <v>0.74915628556435632</v>
      </c>
      <c r="J17" s="64">
        <v>0.70596496423072264</v>
      </c>
      <c r="K17" s="64">
        <v>0.70430186256636529</v>
      </c>
      <c r="L17" s="64">
        <v>0.71879051067495947</v>
      </c>
      <c r="M17" s="64">
        <v>0.72211579087694477</v>
      </c>
      <c r="N17" s="64">
        <v>0.6830197915731806</v>
      </c>
      <c r="O17" s="64">
        <v>0.67008822173586169</v>
      </c>
      <c r="P17" s="64">
        <v>0.67564218808178733</v>
      </c>
      <c r="Q17" s="64">
        <v>0.69322937982636046</v>
      </c>
      <c r="R17" s="64">
        <v>0.68922383081149929</v>
      </c>
      <c r="S17" s="64">
        <v>0.68860450711382426</v>
      </c>
      <c r="T17" s="64">
        <v>0.69840654607241315</v>
      </c>
      <c r="U17" s="64">
        <v>0.69603319487320781</v>
      </c>
      <c r="V17" s="64">
        <v>0.66878913409041807</v>
      </c>
      <c r="W17" s="64">
        <v>0.69916780552846181</v>
      </c>
      <c r="X17" s="64">
        <v>0.69425392030199617</v>
      </c>
    </row>
    <row r="18" spans="2:24" x14ac:dyDescent="0.3">
      <c r="B18" s="61" t="s">
        <v>21</v>
      </c>
      <c r="C18" s="62">
        <v>0.71862098827273602</v>
      </c>
      <c r="F18" s="63">
        <v>2021</v>
      </c>
      <c r="G18" s="64">
        <v>0.60606605479485565</v>
      </c>
      <c r="H18" s="64">
        <v>0.72038326163695587</v>
      </c>
      <c r="I18" s="64">
        <v>0.73164511904103913</v>
      </c>
      <c r="J18" s="64">
        <v>0.69262544022531702</v>
      </c>
      <c r="K18" s="64">
        <v>0.69720674345560241</v>
      </c>
      <c r="L18" s="64">
        <v>0.70692827262530888</v>
      </c>
      <c r="M18" s="64">
        <v>0.70792316759874729</v>
      </c>
      <c r="N18" s="64">
        <v>0.67444620543903211</v>
      </c>
      <c r="O18" s="64">
        <v>0.65818307705921175</v>
      </c>
      <c r="P18" s="64">
        <v>0.66416743201314365</v>
      </c>
      <c r="Q18" s="64">
        <v>0.68872896951936746</v>
      </c>
      <c r="R18" s="64">
        <v>0.67766291507225107</v>
      </c>
      <c r="S18" s="64">
        <v>0.67837818823076401</v>
      </c>
      <c r="T18" s="64">
        <v>0.69103174085032437</v>
      </c>
      <c r="U18" s="64">
        <v>0.68825283738692677</v>
      </c>
      <c r="V18" s="64">
        <v>0.66251823230696028</v>
      </c>
      <c r="W18" s="64">
        <v>0.69077342241290851</v>
      </c>
      <c r="X18" s="64">
        <v>0.68452476939227735</v>
      </c>
    </row>
    <row r="19" spans="2:24" x14ac:dyDescent="0.3">
      <c r="B19" s="61" t="s">
        <v>22</v>
      </c>
      <c r="C19" s="62">
        <v>0.72199057004434475</v>
      </c>
      <c r="F19" s="63">
        <v>2022</v>
      </c>
      <c r="G19" s="64">
        <v>0.62561198137959884</v>
      </c>
      <c r="H19" s="64">
        <v>0.73538267050047368</v>
      </c>
      <c r="I19" s="64">
        <v>0.74049201743674975</v>
      </c>
      <c r="J19" s="64">
        <v>0.70485958776925761</v>
      </c>
      <c r="K19" s="64">
        <v>0.71518896197546311</v>
      </c>
      <c r="L19" s="64">
        <v>0.72088618859543008</v>
      </c>
      <c r="M19" s="64">
        <v>0.71960789124860502</v>
      </c>
      <c r="N19" s="64">
        <v>0.69049297517432795</v>
      </c>
      <c r="O19" s="64">
        <v>0.67041743464372927</v>
      </c>
      <c r="P19" s="64">
        <v>0.67703310732067035</v>
      </c>
      <c r="Q19" s="64">
        <v>0.70938718084868191</v>
      </c>
      <c r="R19" s="64">
        <v>0.69086925081542427</v>
      </c>
      <c r="S19" s="64">
        <v>0.69287711155869536</v>
      </c>
      <c r="T19" s="64">
        <v>0.70862349414496639</v>
      </c>
      <c r="U19" s="64">
        <v>0.70537597029817212</v>
      </c>
      <c r="V19" s="64">
        <v>0.68046933334909376</v>
      </c>
      <c r="W19" s="64">
        <v>0.70734790229820543</v>
      </c>
      <c r="X19" s="64">
        <v>0.69970135643279696</v>
      </c>
    </row>
    <row r="20" spans="2:24" x14ac:dyDescent="0.3">
      <c r="B20" s="61" t="s">
        <v>17</v>
      </c>
      <c r="C20" s="62">
        <v>0.73135605454321262</v>
      </c>
      <c r="F20" s="63" t="s">
        <v>70</v>
      </c>
      <c r="G20" s="64">
        <v>0.60870235320734778</v>
      </c>
      <c r="H20" s="64">
        <v>0.73135605454321262</v>
      </c>
      <c r="I20" s="64">
        <v>0.74906483435437432</v>
      </c>
      <c r="J20" s="64">
        <v>0.70586810306812597</v>
      </c>
      <c r="K20" s="64">
        <v>0.70431594327362634</v>
      </c>
      <c r="L20" s="64">
        <v>0.71862098827273602</v>
      </c>
      <c r="M20" s="64">
        <v>0.72199057004434475</v>
      </c>
      <c r="N20" s="64">
        <v>0.68310310625045323</v>
      </c>
      <c r="O20" s="64">
        <v>0.67020433977863025</v>
      </c>
      <c r="P20" s="64">
        <v>0.67580904078597648</v>
      </c>
      <c r="Q20" s="64">
        <v>0.69322840449236911</v>
      </c>
      <c r="R20" s="64">
        <v>0.68929910789260251</v>
      </c>
      <c r="S20" s="64">
        <v>0.68874694836904349</v>
      </c>
      <c r="T20" s="64">
        <v>0.69838352137533843</v>
      </c>
      <c r="U20" s="64">
        <v>0.69613645317612938</v>
      </c>
      <c r="V20" s="64">
        <v>0.66885668490130057</v>
      </c>
      <c r="W20" s="64">
        <v>0.69922564714200308</v>
      </c>
      <c r="X20" s="64">
        <v>0.69428894711338918</v>
      </c>
    </row>
    <row r="21" spans="2:24" x14ac:dyDescent="0.3">
      <c r="B21" s="61" t="s">
        <v>18</v>
      </c>
      <c r="C21" s="62">
        <v>0.74906483435437432</v>
      </c>
      <c r="J21" s="56"/>
      <c r="K21" s="56"/>
    </row>
    <row r="22" spans="2:24" ht="23.4" x14ac:dyDescent="0.45">
      <c r="B22" s="61" t="s">
        <v>70</v>
      </c>
      <c r="C22" s="62">
        <v>0.69428894711338951</v>
      </c>
      <c r="F22" s="59" t="s">
        <v>77</v>
      </c>
      <c r="J22" s="56"/>
      <c r="K22" s="56"/>
    </row>
    <row r="23" spans="2:24" x14ac:dyDescent="0.3">
      <c r="F23" s="56" t="s">
        <v>71</v>
      </c>
      <c r="G23" s="56" t="s">
        <v>73</v>
      </c>
      <c r="H23" s="56"/>
      <c r="I23" s="56"/>
      <c r="J23" s="56"/>
      <c r="K23" s="56"/>
    </row>
    <row r="24" spans="2:24" x14ac:dyDescent="0.3">
      <c r="F24" s="56" t="s">
        <v>69</v>
      </c>
      <c r="G24" s="56" t="s">
        <v>14</v>
      </c>
      <c r="H24" s="56" t="s">
        <v>15</v>
      </c>
      <c r="I24" s="56" t="s">
        <v>70</v>
      </c>
      <c r="K24" s="56"/>
    </row>
    <row r="25" spans="2:24" x14ac:dyDescent="0.3">
      <c r="F25" s="63">
        <v>2018</v>
      </c>
      <c r="G25" s="64">
        <v>0.69824046139430263</v>
      </c>
      <c r="H25" s="64">
        <v>0.68534840356042426</v>
      </c>
      <c r="I25" s="64">
        <v>0.69179443247736327</v>
      </c>
      <c r="J25" s="56"/>
      <c r="K25" s="56"/>
    </row>
    <row r="26" spans="2:24" x14ac:dyDescent="0.3">
      <c r="F26" s="63">
        <v>2019</v>
      </c>
      <c r="G26" s="64">
        <v>0.70823358552400995</v>
      </c>
      <c r="H26" s="64">
        <v>0.69410692840101385</v>
      </c>
      <c r="I26" s="64">
        <v>0.70117025696251201</v>
      </c>
      <c r="J26" s="56"/>
      <c r="K26" s="56"/>
    </row>
    <row r="27" spans="2:24" x14ac:dyDescent="0.3">
      <c r="F27" s="63">
        <v>2020</v>
      </c>
      <c r="G27" s="64">
        <v>0.7017004954313637</v>
      </c>
      <c r="H27" s="64">
        <v>0.6868073451726282</v>
      </c>
      <c r="I27" s="64">
        <v>0.69425392030199617</v>
      </c>
      <c r="J27" s="56"/>
      <c r="K27" s="56"/>
    </row>
    <row r="28" spans="2:24" x14ac:dyDescent="0.3">
      <c r="F28" s="63">
        <v>2021</v>
      </c>
      <c r="G28" s="64">
        <v>0.69364665241585532</v>
      </c>
      <c r="H28" s="64">
        <v>0.67540288636869972</v>
      </c>
      <c r="I28" s="64">
        <v>0.68452476939227747</v>
      </c>
      <c r="J28" s="56"/>
      <c r="K28" s="56"/>
    </row>
    <row r="29" spans="2:24" x14ac:dyDescent="0.3">
      <c r="F29" s="63">
        <v>2022</v>
      </c>
      <c r="G29" s="64">
        <v>0.69958708727213281</v>
      </c>
      <c r="H29" s="64">
        <v>0.69981562559346067</v>
      </c>
      <c r="I29" s="64">
        <v>0.69970135643279674</v>
      </c>
      <c r="J29" s="56"/>
      <c r="K29" s="56"/>
    </row>
    <row r="30" spans="2:24" x14ac:dyDescent="0.3">
      <c r="F30" s="63" t="s">
        <v>70</v>
      </c>
      <c r="G30" s="64">
        <v>0.70028165640753304</v>
      </c>
      <c r="H30" s="64">
        <v>0.68829623781924509</v>
      </c>
      <c r="I30" s="64">
        <v>0.69428894711338918</v>
      </c>
      <c r="K30" s="56"/>
      <c r="L30" s="56"/>
      <c r="M30" s="56"/>
    </row>
    <row r="32" spans="2:24" ht="23.4" x14ac:dyDescent="0.45">
      <c r="F32" s="65" t="s">
        <v>78</v>
      </c>
      <c r="G32" s="56"/>
      <c r="H32" s="56"/>
      <c r="I32" s="56"/>
    </row>
    <row r="33" spans="4:43" x14ac:dyDescent="0.3">
      <c r="D33" s="56"/>
      <c r="F33" s="56" t="s">
        <v>71</v>
      </c>
      <c r="G33" s="56" t="s">
        <v>73</v>
      </c>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row>
    <row r="34" spans="4:43" x14ac:dyDescent="0.3">
      <c r="D34" s="56"/>
      <c r="F34" s="56" t="s">
        <v>69</v>
      </c>
      <c r="G34" s="56" t="s">
        <v>14</v>
      </c>
      <c r="H34" s="56" t="s">
        <v>15</v>
      </c>
      <c r="I34" s="56" t="s">
        <v>70</v>
      </c>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row>
    <row r="35" spans="4:43" x14ac:dyDescent="0.3">
      <c r="D35" s="56"/>
      <c r="F35" s="63" t="s">
        <v>16</v>
      </c>
      <c r="G35" s="64">
        <v>0.60049127762697252</v>
      </c>
      <c r="H35" s="64">
        <v>0.58842603945734551</v>
      </c>
      <c r="I35" s="64">
        <v>0.59445865854215896</v>
      </c>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row>
    <row r="36" spans="4:43" x14ac:dyDescent="0.3">
      <c r="D36" s="56"/>
      <c r="F36" s="63" t="s">
        <v>17</v>
      </c>
      <c r="G36" s="64">
        <v>0.74121581216264676</v>
      </c>
      <c r="H36" s="64">
        <v>0.71940373300932214</v>
      </c>
      <c r="I36" s="64">
        <v>0.7303097725859844</v>
      </c>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row>
    <row r="37" spans="4:43" x14ac:dyDescent="0.3">
      <c r="D37" s="56"/>
      <c r="F37" s="63" t="s">
        <v>18</v>
      </c>
      <c r="G37" s="64">
        <v>0.76542987427233022</v>
      </c>
      <c r="H37" s="64">
        <v>0.75572082270546814</v>
      </c>
      <c r="I37" s="64">
        <v>0.76057534848889918</v>
      </c>
      <c r="J37" s="56"/>
      <c r="K37" s="56"/>
      <c r="L37" s="56"/>
      <c r="M37" s="56"/>
      <c r="N37" s="56"/>
      <c r="O37" s="56"/>
      <c r="P37" s="56"/>
      <c r="Q37" s="56"/>
      <c r="R37" s="56"/>
      <c r="S37" s="56"/>
      <c r="T37" s="56"/>
      <c r="U37" s="56"/>
      <c r="V37" s="56"/>
      <c r="W37" s="56"/>
      <c r="X37" s="56"/>
    </row>
    <row r="38" spans="4:43" x14ac:dyDescent="0.3">
      <c r="D38" s="56"/>
      <c r="F38" s="63" t="s">
        <v>19</v>
      </c>
      <c r="G38" s="64">
        <v>0.71445944775527304</v>
      </c>
      <c r="H38" s="64">
        <v>0.70515264803175282</v>
      </c>
      <c r="I38" s="64">
        <v>0.70980604789351287</v>
      </c>
    </row>
    <row r="39" spans="4:43" x14ac:dyDescent="0.3">
      <c r="D39" s="56"/>
      <c r="F39" s="63" t="s">
        <v>20</v>
      </c>
      <c r="G39" s="64">
        <v>0.70671393870610555</v>
      </c>
      <c r="H39" s="64">
        <v>0.68592027504259667</v>
      </c>
      <c r="I39" s="64">
        <v>0.69631710687435111</v>
      </c>
    </row>
    <row r="40" spans="4:43" x14ac:dyDescent="0.3">
      <c r="F40" s="63" t="s">
        <v>21</v>
      </c>
      <c r="G40" s="64">
        <v>0.72391428949387893</v>
      </c>
      <c r="H40" s="64">
        <v>0.71438772256945282</v>
      </c>
      <c r="I40" s="64">
        <v>0.71915100603166593</v>
      </c>
    </row>
    <row r="41" spans="4:43" x14ac:dyDescent="0.3">
      <c r="F41" s="63" t="s">
        <v>22</v>
      </c>
      <c r="G41" s="64">
        <v>0.73112305808688804</v>
      </c>
      <c r="H41" s="64">
        <v>0.7234466505305851</v>
      </c>
      <c r="I41" s="64">
        <v>0.72728485430873657</v>
      </c>
    </row>
    <row r="42" spans="4:43" x14ac:dyDescent="0.3">
      <c r="F42" s="63" t="s">
        <v>23</v>
      </c>
      <c r="G42" s="64">
        <v>0.68713638694969137</v>
      </c>
      <c r="H42" s="64">
        <v>0.67010410150577948</v>
      </c>
      <c r="I42" s="64">
        <v>0.67862024422773537</v>
      </c>
    </row>
    <row r="43" spans="4:43" x14ac:dyDescent="0.3">
      <c r="F43" s="63" t="s">
        <v>24</v>
      </c>
      <c r="G43" s="64">
        <v>0.67941806088215428</v>
      </c>
      <c r="H43" s="64">
        <v>0.6663505565638016</v>
      </c>
      <c r="I43" s="64">
        <v>0.67288430872297789</v>
      </c>
    </row>
    <row r="44" spans="4:43" x14ac:dyDescent="0.3">
      <c r="F44" s="63" t="s">
        <v>25</v>
      </c>
      <c r="G44" s="64">
        <v>0.68373823488135699</v>
      </c>
      <c r="H44" s="64">
        <v>0.67147346948555253</v>
      </c>
      <c r="I44" s="64">
        <v>0.6776058521834547</v>
      </c>
    </row>
    <row r="45" spans="4:43" x14ac:dyDescent="0.3">
      <c r="F45" s="63" t="s">
        <v>26</v>
      </c>
      <c r="G45" s="64">
        <v>0.68574251811657139</v>
      </c>
      <c r="H45" s="64">
        <v>0.67429816137801568</v>
      </c>
      <c r="I45" s="64">
        <v>0.68002033974729348</v>
      </c>
    </row>
    <row r="46" spans="4:43" x14ac:dyDescent="0.3">
      <c r="F46" s="63" t="s">
        <v>27</v>
      </c>
      <c r="G46" s="64">
        <v>0.69696042691374915</v>
      </c>
      <c r="H46" s="64">
        <v>0.6844405084402565</v>
      </c>
      <c r="I46" s="64">
        <v>0.69070046767700277</v>
      </c>
    </row>
    <row r="47" spans="4:43" x14ac:dyDescent="0.3">
      <c r="F47" s="63" t="s">
        <v>28</v>
      </c>
      <c r="G47" s="64">
        <v>0.69647408246761744</v>
      </c>
      <c r="H47" s="64">
        <v>0.67879708470159006</v>
      </c>
      <c r="I47" s="64">
        <v>0.68763558358460375</v>
      </c>
    </row>
    <row r="48" spans="4:43" x14ac:dyDescent="0.3">
      <c r="F48" s="63" t="s">
        <v>29</v>
      </c>
      <c r="G48" s="64">
        <v>0.69841029173502012</v>
      </c>
      <c r="H48" s="64">
        <v>0.68359778408168359</v>
      </c>
      <c r="I48" s="64">
        <v>0.69100403790835185</v>
      </c>
    </row>
    <row r="49" spans="2:9" x14ac:dyDescent="0.3">
      <c r="F49" s="63" t="s">
        <v>30</v>
      </c>
      <c r="G49" s="64">
        <v>0.69154785486865489</v>
      </c>
      <c r="H49" s="64">
        <v>0.68830462088590894</v>
      </c>
      <c r="I49" s="64">
        <v>0.68992623787728191</v>
      </c>
    </row>
    <row r="50" spans="2:9" x14ac:dyDescent="0.3">
      <c r="F50" s="63" t="s">
        <v>31</v>
      </c>
      <c r="G50" s="64">
        <v>0.66514582490947671</v>
      </c>
      <c r="H50" s="64">
        <v>0.65516592883173119</v>
      </c>
      <c r="I50" s="64">
        <v>0.66015587687060395</v>
      </c>
    </row>
    <row r="51" spans="2:9" x14ac:dyDescent="0.3">
      <c r="F51" s="63" t="s">
        <v>32</v>
      </c>
      <c r="G51" s="64">
        <v>0.70216646387475568</v>
      </c>
      <c r="H51" s="64">
        <v>0.68593275330636871</v>
      </c>
      <c r="I51" s="64">
        <v>0.69404960859056219</v>
      </c>
    </row>
    <row r="52" spans="2:9" x14ac:dyDescent="0.3">
      <c r="F52" s="63" t="s">
        <v>70</v>
      </c>
      <c r="G52" s="64">
        <v>0.69824046139430263</v>
      </c>
      <c r="H52" s="64">
        <v>0.68534840356042426</v>
      </c>
      <c r="I52" s="64">
        <v>0.69179443247736327</v>
      </c>
    </row>
    <row r="53" spans="2:9" x14ac:dyDescent="0.3">
      <c r="F53" s="56"/>
      <c r="G53" s="56"/>
    </row>
    <row r="54" spans="2:9" x14ac:dyDescent="0.3">
      <c r="B54" s="56"/>
      <c r="C54" s="56"/>
      <c r="D54" s="56"/>
      <c r="F54" s="56"/>
      <c r="G54" s="56"/>
    </row>
    <row r="55" spans="2:9" x14ac:dyDescent="0.3">
      <c r="B55" s="56"/>
      <c r="C55" s="56"/>
      <c r="D55" s="56"/>
      <c r="F55" s="56"/>
      <c r="G55" s="56"/>
    </row>
    <row r="56" spans="2:9" x14ac:dyDescent="0.3">
      <c r="B56" s="56"/>
      <c r="C56" s="56"/>
      <c r="D56" s="56"/>
      <c r="F56" s="56"/>
      <c r="G56" s="56"/>
    </row>
    <row r="57" spans="2:9" x14ac:dyDescent="0.3">
      <c r="B57" s="56"/>
      <c r="C57" s="56"/>
      <c r="D57" s="56"/>
      <c r="F57" s="56"/>
      <c r="G57" s="56"/>
    </row>
    <row r="58" spans="2:9" x14ac:dyDescent="0.3">
      <c r="B58" s="56"/>
      <c r="C58" s="56"/>
      <c r="D58" s="56"/>
      <c r="F58" s="56"/>
      <c r="G58" s="56"/>
    </row>
    <row r="59" spans="2:9" x14ac:dyDescent="0.3">
      <c r="B59" s="56"/>
      <c r="C59" s="56"/>
      <c r="D59" s="56"/>
      <c r="F59" s="56"/>
      <c r="G59" s="56"/>
    </row>
    <row r="60" spans="2:9" x14ac:dyDescent="0.3">
      <c r="B60" s="56"/>
      <c r="C60" s="56"/>
      <c r="D60" s="56"/>
      <c r="F60" s="56"/>
      <c r="G60" s="56"/>
    </row>
    <row r="61" spans="2:9" x14ac:dyDescent="0.3">
      <c r="B61" s="56"/>
      <c r="C61" s="56"/>
      <c r="D61" s="56"/>
      <c r="F61" s="56"/>
      <c r="G61" s="56"/>
    </row>
    <row r="62" spans="2:9" x14ac:dyDescent="0.3">
      <c r="B62" s="56"/>
      <c r="C62" s="56"/>
      <c r="D62" s="56"/>
      <c r="F62" s="56"/>
      <c r="G62" s="56"/>
    </row>
    <row r="63" spans="2:9" x14ac:dyDescent="0.3">
      <c r="B63" s="56"/>
      <c r="C63" s="56"/>
      <c r="D63" s="56"/>
      <c r="F63" s="56"/>
      <c r="G63" s="56"/>
    </row>
    <row r="64" spans="2:9" x14ac:dyDescent="0.3">
      <c r="B64" s="56"/>
      <c r="C64" s="56"/>
      <c r="D64" s="56"/>
      <c r="F64" s="56"/>
      <c r="G64" s="56"/>
    </row>
    <row r="65" spans="6:7" x14ac:dyDescent="0.3">
      <c r="F65" s="56"/>
      <c r="G65" s="56"/>
    </row>
    <row r="66" spans="6:7" x14ac:dyDescent="0.3">
      <c r="F66" s="56"/>
      <c r="G66" s="56"/>
    </row>
    <row r="67" spans="6:7" x14ac:dyDescent="0.3">
      <c r="F67" s="56"/>
      <c r="G67" s="56"/>
    </row>
    <row r="68" spans="6:7" x14ac:dyDescent="0.3">
      <c r="F68" s="56"/>
      <c r="G68" s="56"/>
    </row>
    <row r="69" spans="6:7" x14ac:dyDescent="0.3">
      <c r="F69" s="56"/>
      <c r="G69" s="56"/>
    </row>
    <row r="70" spans="6:7" x14ac:dyDescent="0.3">
      <c r="F70" s="56"/>
      <c r="G70" s="56"/>
    </row>
    <row r="71" spans="6:7" x14ac:dyDescent="0.3">
      <c r="F71" s="56"/>
      <c r="G71" s="56"/>
    </row>
    <row r="72" spans="6:7" x14ac:dyDescent="0.3">
      <c r="F72" s="56"/>
      <c r="G72" s="56"/>
    </row>
    <row r="73" spans="6:7" x14ac:dyDescent="0.3">
      <c r="F73" s="56"/>
      <c r="G73" s="56"/>
    </row>
    <row r="74" spans="6:7" x14ac:dyDescent="0.3">
      <c r="F74" s="56"/>
      <c r="G74" s="56"/>
    </row>
    <row r="75" spans="6:7" x14ac:dyDescent="0.3">
      <c r="F75" s="56"/>
      <c r="G75" s="56"/>
    </row>
    <row r="76" spans="6:7" x14ac:dyDescent="0.3">
      <c r="F76" s="56"/>
      <c r="G76" s="56"/>
    </row>
    <row r="77" spans="6:7" x14ac:dyDescent="0.3">
      <c r="F77" s="56"/>
      <c r="G77" s="56"/>
    </row>
    <row r="78" spans="6:7" x14ac:dyDescent="0.3">
      <c r="F78" s="56"/>
      <c r="G78" s="56"/>
    </row>
    <row r="79" spans="6:7" x14ac:dyDescent="0.3">
      <c r="F79" s="56"/>
      <c r="G79" s="56"/>
    </row>
    <row r="80" spans="6:7" x14ac:dyDescent="0.3">
      <c r="F80" s="56"/>
      <c r="G80" s="56"/>
    </row>
    <row r="81" spans="6:7" x14ac:dyDescent="0.3">
      <c r="F81" s="56"/>
      <c r="G81" s="56"/>
    </row>
    <row r="82" spans="6:7" x14ac:dyDescent="0.3">
      <c r="F82" s="56"/>
      <c r="G82" s="56"/>
    </row>
    <row r="83" spans="6:7" x14ac:dyDescent="0.3">
      <c r="F83" s="56"/>
      <c r="G83" s="56"/>
    </row>
    <row r="84" spans="6:7" x14ac:dyDescent="0.3">
      <c r="F84" s="56"/>
      <c r="G84" s="56"/>
    </row>
    <row r="85" spans="6:7" x14ac:dyDescent="0.3">
      <c r="F85" s="56"/>
      <c r="G85" s="56"/>
    </row>
    <row r="86" spans="6:7" x14ac:dyDescent="0.3">
      <c r="F86" s="56"/>
      <c r="G86" s="56"/>
    </row>
    <row r="87" spans="6:7" x14ac:dyDescent="0.3">
      <c r="F87" s="56"/>
      <c r="G87" s="56"/>
    </row>
    <row r="88" spans="6:7" x14ac:dyDescent="0.3">
      <c r="F88" s="56"/>
      <c r="G88" s="56"/>
    </row>
    <row r="89" spans="6:7" x14ac:dyDescent="0.3">
      <c r="F89" s="56"/>
      <c r="G89" s="56"/>
    </row>
    <row r="90" spans="6:7" x14ac:dyDescent="0.3">
      <c r="F90" s="56"/>
      <c r="G90" s="56"/>
    </row>
    <row r="91" spans="6:7" x14ac:dyDescent="0.3">
      <c r="F91" s="56"/>
      <c r="G91" s="56"/>
    </row>
    <row r="92" spans="6:7" x14ac:dyDescent="0.3">
      <c r="F92" s="56"/>
      <c r="G92" s="56"/>
    </row>
    <row r="93" spans="6:7" x14ac:dyDescent="0.3">
      <c r="F93" s="56"/>
      <c r="G93" s="56"/>
    </row>
    <row r="94" spans="6:7" x14ac:dyDescent="0.3">
      <c r="F94" s="56"/>
      <c r="G94" s="56"/>
    </row>
    <row r="95" spans="6:7" x14ac:dyDescent="0.3">
      <c r="F95" s="56"/>
      <c r="G95" s="56"/>
    </row>
  </sheetData>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AF30-8F71-422D-BE5F-203A5A4B05A1}">
  <sheetPr codeName="Sheet4">
    <tabColor rgb="FF00B050"/>
  </sheetPr>
  <dimension ref="A1:U173"/>
  <sheetViews>
    <sheetView showGridLines="0" showRowColHeaders="0" zoomScaleNormal="100" workbookViewId="0">
      <selection activeCell="J1" sqref="J1"/>
    </sheetView>
  </sheetViews>
  <sheetFormatPr defaultRowHeight="14.4" x14ac:dyDescent="0.3"/>
  <cols>
    <col min="1" max="1" width="2.5546875" style="37" customWidth="1"/>
    <col min="2" max="2" width="12.21875" style="37" bestFit="1" customWidth="1"/>
    <col min="3" max="3" width="9.77734375" style="37" bestFit="1" customWidth="1"/>
    <col min="4" max="4" width="9" style="37" bestFit="1" customWidth="1"/>
    <col min="5" max="5" width="16.21875" style="37" bestFit="1" customWidth="1"/>
    <col min="6" max="6" width="11.77734375" style="45" bestFit="1" customWidth="1"/>
    <col min="7" max="7" width="15" style="46" bestFit="1" customWidth="1"/>
    <col min="8" max="8" width="24" style="47" bestFit="1" customWidth="1"/>
    <col min="9" max="10" width="15" style="46" bestFit="1" customWidth="1"/>
    <col min="11" max="11" width="15.109375" style="45" bestFit="1" customWidth="1"/>
    <col min="12" max="12" width="18.77734375" style="44" bestFit="1" customWidth="1"/>
    <col min="13" max="13" width="18.77734375" style="48" bestFit="1" customWidth="1"/>
    <col min="14" max="14" width="12.6640625" style="45" bestFit="1" customWidth="1"/>
    <col min="15" max="15" width="9.21875" style="49" bestFit="1" customWidth="1"/>
    <col min="16" max="16" width="1.6640625" style="37" customWidth="1"/>
    <col min="17" max="17" width="9.77734375" style="37" bestFit="1" customWidth="1"/>
    <col min="18" max="18" width="16.21875" style="44" bestFit="1" customWidth="1"/>
    <col min="19" max="22" width="8.88671875" style="37"/>
    <col min="23" max="23" width="19.88671875" style="37" bestFit="1" customWidth="1"/>
    <col min="24" max="16384" width="8.88671875" style="37"/>
  </cols>
  <sheetData>
    <row r="1" spans="1:21" ht="59.4" customHeight="1" x14ac:dyDescent="0.3">
      <c r="F1" s="37"/>
      <c r="G1" s="45"/>
      <c r="H1" s="46"/>
    </row>
    <row r="2" spans="1:21" ht="15" customHeight="1" x14ac:dyDescent="0.3">
      <c r="F2" s="37"/>
      <c r="G2" s="45"/>
      <c r="H2" s="46"/>
    </row>
    <row r="3" spans="1:21" s="27" customFormat="1" ht="43.2" x14ac:dyDescent="0.3">
      <c r="A3" s="37"/>
      <c r="B3" s="29" t="s">
        <v>33</v>
      </c>
      <c r="C3" s="29" t="s">
        <v>34</v>
      </c>
      <c r="D3" s="29" t="s">
        <v>57</v>
      </c>
      <c r="E3" s="33" t="s">
        <v>58</v>
      </c>
      <c r="F3" s="34" t="s">
        <v>65</v>
      </c>
      <c r="G3" s="32" t="s">
        <v>59</v>
      </c>
      <c r="H3" s="32" t="s">
        <v>67</v>
      </c>
      <c r="I3" s="32" t="s">
        <v>60</v>
      </c>
      <c r="J3" s="32" t="s">
        <v>68</v>
      </c>
      <c r="K3" s="34" t="s">
        <v>63</v>
      </c>
      <c r="L3" s="30" t="s">
        <v>61</v>
      </c>
      <c r="M3" s="31" t="s">
        <v>62</v>
      </c>
      <c r="N3" s="34" t="s">
        <v>64</v>
      </c>
      <c r="O3" s="35" t="s">
        <v>45</v>
      </c>
      <c r="P3" s="37"/>
      <c r="Q3" s="27" t="s">
        <v>34</v>
      </c>
      <c r="R3" s="28" t="s">
        <v>66</v>
      </c>
      <c r="S3" s="37"/>
      <c r="T3" s="36"/>
      <c r="U3" s="37"/>
    </row>
    <row r="4" spans="1:21" x14ac:dyDescent="0.3">
      <c r="B4" s="38" t="s">
        <v>16</v>
      </c>
      <c r="C4" s="38">
        <v>2018</v>
      </c>
      <c r="D4" s="38" t="s">
        <v>14</v>
      </c>
      <c r="E4" s="38">
        <v>69.31</v>
      </c>
      <c r="F4" s="39">
        <f>(Data!$E4-20)/65</f>
        <v>0.75861538461538469</v>
      </c>
      <c r="G4" s="40">
        <v>11.96</v>
      </c>
      <c r="H4" s="40">
        <f>Data!$G4/18</f>
        <v>0.6644444444444445</v>
      </c>
      <c r="I4" s="40">
        <v>6.2350000000000003</v>
      </c>
      <c r="J4" s="40">
        <f>Data!$I4/15</f>
        <v>0.41566666666666668</v>
      </c>
      <c r="K4" s="39">
        <f>(Data!$H4+Data!$J4)/2</f>
        <v>0.54005555555555562</v>
      </c>
      <c r="L4" s="41">
        <v>174182.025345712</v>
      </c>
      <c r="M4" s="42">
        <f>L4/VLOOKUP(C4, exchange_rates[], 2, FALSE)</f>
        <v>3307.6723385057353</v>
      </c>
      <c r="N4" s="39">
        <f>( LN( Data!$M4 ) - LN(100) ) / ( LN(75000) - LN(100) )</f>
        <v>0.52851829652888027</v>
      </c>
      <c r="O4" s="43">
        <f>POWER((Data!$F4*Data!$K4*Data!$N4), 1/3)</f>
        <v>0.60049127762697252</v>
      </c>
      <c r="Q4" s="37">
        <v>2018</v>
      </c>
      <c r="R4" s="44">
        <v>52.66</v>
      </c>
    </row>
    <row r="5" spans="1:21" x14ac:dyDescent="0.3">
      <c r="B5" s="38" t="s">
        <v>17</v>
      </c>
      <c r="C5" s="38">
        <v>2018</v>
      </c>
      <c r="D5" s="38" t="s">
        <v>14</v>
      </c>
      <c r="E5" s="38">
        <v>76.569999999999993</v>
      </c>
      <c r="F5" s="39">
        <f>(Data!$E5-20)/65</f>
        <v>0.87030769230769223</v>
      </c>
      <c r="G5" s="40">
        <v>14.16</v>
      </c>
      <c r="H5" s="40">
        <f>Data!$G5/18</f>
        <v>0.78666666666666663</v>
      </c>
      <c r="I5" s="40">
        <v>9.5389999999999997</v>
      </c>
      <c r="J5" s="40">
        <f>Data!$I5/15</f>
        <v>0.63593333333333335</v>
      </c>
      <c r="K5" s="39">
        <f>(Data!$H5+Data!$J5)/2</f>
        <v>0.71130000000000004</v>
      </c>
      <c r="L5" s="41">
        <v>409976.92395836528</v>
      </c>
      <c r="M5" s="42">
        <f>L5/VLOOKUP(C5, exchange_rates[], 2, FALSE)</f>
        <v>7785.3574621793641</v>
      </c>
      <c r="N5" s="39">
        <f>( LN( Data!$M5 ) - LN(100) ) / ( LN(75000) - LN(100) )</f>
        <v>0.65782200258995593</v>
      </c>
      <c r="O5" s="43">
        <f>POWER((Data!$F5*Data!$K5*Data!$N5), 1/3)</f>
        <v>0.74121581216264676</v>
      </c>
      <c r="Q5" s="37">
        <v>2019</v>
      </c>
      <c r="R5" s="44">
        <v>51.8</v>
      </c>
    </row>
    <row r="6" spans="1:21" x14ac:dyDescent="0.3">
      <c r="B6" s="38" t="s">
        <v>19</v>
      </c>
      <c r="C6" s="38">
        <v>2018</v>
      </c>
      <c r="D6" s="38" t="s">
        <v>14</v>
      </c>
      <c r="E6" s="38">
        <v>72.739999999999995</v>
      </c>
      <c r="F6" s="39">
        <f>(Data!$E6-20)/65</f>
        <v>0.81138461538461526</v>
      </c>
      <c r="G6" s="40">
        <v>13.16</v>
      </c>
      <c r="H6" s="40">
        <f>Data!$G6/18</f>
        <v>0.73111111111111116</v>
      </c>
      <c r="I6" s="40">
        <v>9.2989999999999995</v>
      </c>
      <c r="J6" s="40">
        <f>Data!$I6/15</f>
        <v>0.61993333333333334</v>
      </c>
      <c r="K6" s="39">
        <f>(Data!$H6+Data!$J6)/2</f>
        <v>0.67552222222222225</v>
      </c>
      <c r="L6" s="41">
        <v>430996.89033858007</v>
      </c>
      <c r="M6" s="42">
        <f>L6/VLOOKUP(C6, exchange_rates[], 2, FALSE)</f>
        <v>8184.5212749445518</v>
      </c>
      <c r="N6" s="39">
        <f>( LN( Data!$M6 ) - LN(100) ) / ( LN(75000) - LN(100) )</f>
        <v>0.66537478915894377</v>
      </c>
      <c r="O6" s="43">
        <f>POWER((Data!$F6*Data!$K6*Data!$N6), 1/3)</f>
        <v>0.71445944775527304</v>
      </c>
      <c r="Q6" s="37">
        <v>2020</v>
      </c>
      <c r="R6" s="44">
        <v>49.63</v>
      </c>
    </row>
    <row r="7" spans="1:21" x14ac:dyDescent="0.3">
      <c r="B7" s="38" t="s">
        <v>20</v>
      </c>
      <c r="C7" s="38">
        <v>2018</v>
      </c>
      <c r="D7" s="38" t="s">
        <v>14</v>
      </c>
      <c r="E7" s="38">
        <v>74.63</v>
      </c>
      <c r="F7" s="39">
        <f>(Data!$E7-20)/65</f>
        <v>0.84046153846153837</v>
      </c>
      <c r="G7" s="40">
        <v>13.65</v>
      </c>
      <c r="H7" s="40">
        <f>Data!$G7/18</f>
        <v>0.7583333333333333</v>
      </c>
      <c r="I7" s="40">
        <v>8.4090000000000007</v>
      </c>
      <c r="J7" s="40">
        <f>Data!$I7/15</f>
        <v>0.5606000000000001</v>
      </c>
      <c r="K7" s="39">
        <f>(Data!$H7+Data!$J7)/2</f>
        <v>0.65946666666666665</v>
      </c>
      <c r="L7" s="41">
        <v>356773.41024966637</v>
      </c>
      <c r="M7" s="42">
        <f>L7/VLOOKUP(C7, exchange_rates[], 2, FALSE)</f>
        <v>6775.0362751550774</v>
      </c>
      <c r="N7" s="39">
        <f>( LN( Data!$M7 ) - LN(100) ) / ( LN(75000) - LN(100) )</f>
        <v>0.63682525592816897</v>
      </c>
      <c r="O7" s="43">
        <f>POWER((Data!$F7*Data!$K7*Data!$N7), 1/3)</f>
        <v>0.70671393870610555</v>
      </c>
      <c r="Q7" s="37">
        <v>2021</v>
      </c>
      <c r="R7" s="44">
        <v>48</v>
      </c>
    </row>
    <row r="8" spans="1:21" x14ac:dyDescent="0.3">
      <c r="B8" s="38" t="s">
        <v>21</v>
      </c>
      <c r="C8" s="38">
        <v>2018</v>
      </c>
      <c r="D8" s="38" t="s">
        <v>14</v>
      </c>
      <c r="E8" s="38">
        <v>74.959999999999994</v>
      </c>
      <c r="F8" s="39">
        <f>(Data!$E8-20)/65</f>
        <v>0.84553846153846146</v>
      </c>
      <c r="G8" s="40">
        <v>12.85</v>
      </c>
      <c r="H8" s="40">
        <f>Data!$G8/18</f>
        <v>0.71388888888888891</v>
      </c>
      <c r="I8" s="40">
        <v>9.0020000000000007</v>
      </c>
      <c r="J8" s="40">
        <f>Data!$I8/15</f>
        <v>0.60013333333333341</v>
      </c>
      <c r="K8" s="39">
        <f>(Data!$H8+Data!$J8)/2</f>
        <v>0.65701111111111121</v>
      </c>
      <c r="L8" s="41">
        <v>484007.72875249427</v>
      </c>
      <c r="M8" s="42">
        <f>L8/VLOOKUP(C8, exchange_rates[], 2, FALSE)</f>
        <v>9191.1836071495309</v>
      </c>
      <c r="N8" s="39">
        <f>( LN( Data!$M8 ) - LN(100) ) / ( LN(75000) - LN(100) )</f>
        <v>0.68289725399899592</v>
      </c>
      <c r="O8" s="43">
        <f>POWER((Data!$F8*Data!$K8*Data!$N8), 1/3)</f>
        <v>0.72391428949387893</v>
      </c>
      <c r="Q8" s="37">
        <v>2022</v>
      </c>
      <c r="R8" s="44">
        <v>54.48</v>
      </c>
    </row>
    <row r="9" spans="1:21" x14ac:dyDescent="0.3">
      <c r="B9" s="38" t="s">
        <v>22</v>
      </c>
      <c r="C9" s="38">
        <v>2018</v>
      </c>
      <c r="D9" s="38" t="s">
        <v>14</v>
      </c>
      <c r="E9" s="38">
        <v>74.48</v>
      </c>
      <c r="F9" s="39">
        <f>(Data!$E9-20)/65</f>
        <v>0.83815384615384625</v>
      </c>
      <c r="G9" s="40">
        <v>13.06</v>
      </c>
      <c r="H9" s="40">
        <f>Data!$G9/18</f>
        <v>0.72555555555555562</v>
      </c>
      <c r="I9" s="40">
        <v>9.4789999999999992</v>
      </c>
      <c r="J9" s="40">
        <f>Data!$I9/15</f>
        <v>0.63193333333333324</v>
      </c>
      <c r="K9" s="39">
        <f>(Data!$H9+Data!$J9)/2</f>
        <v>0.67874444444444437</v>
      </c>
      <c r="L9" s="41">
        <v>497253.95680899755</v>
      </c>
      <c r="M9" s="42">
        <f>L9/VLOOKUP(C9, exchange_rates[], 2, FALSE)</f>
        <v>9442.7261072730271</v>
      </c>
      <c r="N9" s="39">
        <f>( LN( Data!$M9 ) - LN(100) ) / ( LN(75000) - LN(100) )</f>
        <v>0.68697575874624961</v>
      </c>
      <c r="O9" s="43">
        <f>POWER((Data!$F9*Data!$K9*Data!$N9), 1/3)</f>
        <v>0.73112305808688804</v>
      </c>
    </row>
    <row r="10" spans="1:21" x14ac:dyDescent="0.3">
      <c r="B10" s="38" t="s">
        <v>23</v>
      </c>
      <c r="C10" s="38">
        <v>2018</v>
      </c>
      <c r="D10" s="38" t="s">
        <v>14</v>
      </c>
      <c r="E10" s="38">
        <v>72.7</v>
      </c>
      <c r="F10" s="39">
        <f>(Data!$E10-20)/65</f>
        <v>0.8107692307692308</v>
      </c>
      <c r="G10" s="40">
        <v>13.41</v>
      </c>
      <c r="H10" s="40">
        <f>Data!$G10/18</f>
        <v>0.745</v>
      </c>
      <c r="I10" s="40">
        <v>8.3330000000000002</v>
      </c>
      <c r="J10" s="40">
        <f>Data!$I10/15</f>
        <v>0.55553333333333332</v>
      </c>
      <c r="K10" s="39">
        <f>(Data!$H10+Data!$J10)/2</f>
        <v>0.65026666666666666</v>
      </c>
      <c r="L10" s="41">
        <v>309544.19448158017</v>
      </c>
      <c r="M10" s="42">
        <f>L10/VLOOKUP(C10, exchange_rates[], 2, FALSE)</f>
        <v>5878.1654857876983</v>
      </c>
      <c r="N10" s="39">
        <f>( LN( Data!$M10 ) - LN(100) ) / ( LN(75000) - LN(100) )</f>
        <v>0.61537534207224309</v>
      </c>
      <c r="O10" s="43">
        <f>POWER((Data!$F10*Data!$K10*Data!$N10), 1/3)</f>
        <v>0.68713638694969137</v>
      </c>
    </row>
    <row r="11" spans="1:21" x14ac:dyDescent="0.3">
      <c r="B11" s="38" t="s">
        <v>24</v>
      </c>
      <c r="C11" s="38">
        <v>2018</v>
      </c>
      <c r="D11" s="38" t="s">
        <v>14</v>
      </c>
      <c r="E11" s="38">
        <v>73.44</v>
      </c>
      <c r="F11" s="39">
        <f>(Data!$E11-20)/65</f>
        <v>0.82215384615384612</v>
      </c>
      <c r="G11" s="40">
        <v>13.34</v>
      </c>
      <c r="H11" s="40">
        <f>Data!$G11/18</f>
        <v>0.74111111111111105</v>
      </c>
      <c r="I11" s="40">
        <v>7.73</v>
      </c>
      <c r="J11" s="40">
        <f>Data!$I11/15</f>
        <v>0.51533333333333331</v>
      </c>
      <c r="K11" s="39">
        <f>(Data!$H11+Data!$J11)/2</f>
        <v>0.62822222222222224</v>
      </c>
      <c r="L11" s="41">
        <v>293272.10823308572</v>
      </c>
      <c r="M11" s="42">
        <f>L11/VLOOKUP(C11, exchange_rates[], 2, FALSE)</f>
        <v>5569.1627085660029</v>
      </c>
      <c r="N11" s="39">
        <f>( LN( Data!$M11 ) - LN(100) ) / ( LN(75000) - LN(100) )</f>
        <v>0.60721833257773594</v>
      </c>
      <c r="O11" s="43">
        <f>POWER((Data!$F11*Data!$K11*Data!$N11), 1/3)</f>
        <v>0.67941806088215428</v>
      </c>
    </row>
    <row r="12" spans="1:21" x14ac:dyDescent="0.3">
      <c r="B12" s="38" t="s">
        <v>18</v>
      </c>
      <c r="C12" s="38">
        <v>2018</v>
      </c>
      <c r="D12" s="38" t="s">
        <v>14</v>
      </c>
      <c r="E12" s="38">
        <v>76.790000000000006</v>
      </c>
      <c r="F12" s="39">
        <f>(Data!$E12-20)/65</f>
        <v>0.87369230769230777</v>
      </c>
      <c r="G12" s="40">
        <v>13.56</v>
      </c>
      <c r="H12" s="40">
        <f>Data!$G12/18</f>
        <v>0.75333333333333341</v>
      </c>
      <c r="I12" s="40">
        <v>10.52</v>
      </c>
      <c r="J12" s="40">
        <f>Data!$I12/15</f>
        <v>0.70133333333333325</v>
      </c>
      <c r="K12" s="39">
        <f>(Data!$H12+Data!$J12)/2</f>
        <v>0.72733333333333339</v>
      </c>
      <c r="L12" s="41">
        <v>562899.37102492293</v>
      </c>
      <c r="M12" s="42">
        <f>L12/VLOOKUP(C12, exchange_rates[], 2, FALSE)</f>
        <v>10689.315818931314</v>
      </c>
      <c r="N12" s="39">
        <f>( LN( Data!$M12 ) - LN(100) ) / ( LN(75000) - LN(100) )</f>
        <v>0.70570666943733984</v>
      </c>
      <c r="O12" s="43">
        <f>POWER((Data!$F12*Data!$K12*Data!$N12), 1/3)</f>
        <v>0.76542987427233022</v>
      </c>
    </row>
    <row r="13" spans="1:21" x14ac:dyDescent="0.3">
      <c r="B13" s="38" t="s">
        <v>25</v>
      </c>
      <c r="C13" s="38">
        <v>2018</v>
      </c>
      <c r="D13" s="38" t="s">
        <v>14</v>
      </c>
      <c r="E13" s="38">
        <v>71.989999999999995</v>
      </c>
      <c r="F13" s="39">
        <f>(Data!$E13-20)/65</f>
        <v>0.79984615384615376</v>
      </c>
      <c r="G13" s="40">
        <v>13.28</v>
      </c>
      <c r="H13" s="40">
        <f>Data!$G13/18</f>
        <v>0.73777777777777775</v>
      </c>
      <c r="I13" s="40">
        <v>8.4830000000000005</v>
      </c>
      <c r="J13" s="40">
        <f>Data!$I13/15</f>
        <v>0.56553333333333333</v>
      </c>
      <c r="K13" s="39">
        <f>(Data!$H13+Data!$J13)/2</f>
        <v>0.65165555555555554</v>
      </c>
      <c r="L13" s="41">
        <v>305240.77001911157</v>
      </c>
      <c r="M13" s="42">
        <f>L13/VLOOKUP(C13, exchange_rates[], 2, FALSE)</f>
        <v>5796.4445503059551</v>
      </c>
      <c r="N13" s="39">
        <f>( LN( Data!$M13 ) - LN(100) ) / ( LN(75000) - LN(100) )</f>
        <v>0.61326056183292632</v>
      </c>
      <c r="O13" s="43">
        <f>POWER((Data!$F13*Data!$K13*Data!$N13), 1/3)</f>
        <v>0.68373823488135699</v>
      </c>
    </row>
    <row r="14" spans="1:21" x14ac:dyDescent="0.3">
      <c r="B14" s="38" t="s">
        <v>26</v>
      </c>
      <c r="C14" s="38">
        <v>2018</v>
      </c>
      <c r="D14" s="38" t="s">
        <v>14</v>
      </c>
      <c r="E14" s="38">
        <v>70.86</v>
      </c>
      <c r="F14" s="39">
        <f>(Data!$E14-20)/65</f>
        <v>0.78246153846153843</v>
      </c>
      <c r="G14" s="40">
        <v>13.52</v>
      </c>
      <c r="H14" s="40">
        <f>Data!$G14/18</f>
        <v>0.75111111111111106</v>
      </c>
      <c r="I14" s="40">
        <v>8.6</v>
      </c>
      <c r="J14" s="40">
        <f>Data!$I14/15</f>
        <v>0.57333333333333336</v>
      </c>
      <c r="K14" s="39">
        <f>(Data!$H14+Data!$J14)/2</f>
        <v>0.66222222222222227</v>
      </c>
      <c r="L14" s="41">
        <v>324115.80510194</v>
      </c>
      <c r="M14" s="42">
        <f>L14/VLOOKUP(C14, exchange_rates[], 2, FALSE)</f>
        <v>6154.87666353855</v>
      </c>
      <c r="N14" s="39">
        <f>( LN( Data!$M14 ) - LN(100) ) / ( LN(75000) - LN(100) )</f>
        <v>0.62232390571571194</v>
      </c>
      <c r="O14" s="43">
        <f>POWER((Data!$F14*Data!$K14*Data!$N14), 1/3)</f>
        <v>0.68574251811657139</v>
      </c>
    </row>
    <row r="15" spans="1:21" x14ac:dyDescent="0.3">
      <c r="B15" s="38" t="s">
        <v>27</v>
      </c>
      <c r="C15" s="38">
        <v>2018</v>
      </c>
      <c r="D15" s="38" t="s">
        <v>14</v>
      </c>
      <c r="E15" s="38">
        <v>73.19</v>
      </c>
      <c r="F15" s="39">
        <f>(Data!$E15-20)/65</f>
        <v>0.81830769230769229</v>
      </c>
      <c r="G15" s="40">
        <v>13.38</v>
      </c>
      <c r="H15" s="40">
        <f>Data!$G15/18</f>
        <v>0.7433333333333334</v>
      </c>
      <c r="I15" s="40">
        <v>8.3260000000000005</v>
      </c>
      <c r="J15" s="40">
        <f>Data!$I15/15</f>
        <v>0.55506666666666671</v>
      </c>
      <c r="K15" s="39">
        <f>(Data!$H15+Data!$J15)/2</f>
        <v>0.6492</v>
      </c>
      <c r="L15" s="41">
        <v>357845.3375674467</v>
      </c>
      <c r="M15" s="42">
        <f>L15/VLOOKUP(C15, exchange_rates[], 2, FALSE)</f>
        <v>6795.3919021543243</v>
      </c>
      <c r="N15" s="39">
        <f>( LN( Data!$M15 ) - LN(100) ) / ( LN(75000) - LN(100) )</f>
        <v>0.63727842312230831</v>
      </c>
      <c r="O15" s="43">
        <f>POWER((Data!$F15*Data!$K15*Data!$N15), 1/3)</f>
        <v>0.69696042691374915</v>
      </c>
    </row>
    <row r="16" spans="1:21" x14ac:dyDescent="0.3">
      <c r="B16" s="38" t="s">
        <v>28</v>
      </c>
      <c r="C16" s="38">
        <v>2018</v>
      </c>
      <c r="D16" s="38" t="s">
        <v>14</v>
      </c>
      <c r="E16" s="38">
        <v>72.819999999999993</v>
      </c>
      <c r="F16" s="39">
        <f>(Data!$E16-20)/65</f>
        <v>0.81261538461538452</v>
      </c>
      <c r="G16" s="40">
        <v>13.9</v>
      </c>
      <c r="H16" s="40">
        <f>Data!$G16/18</f>
        <v>0.77222222222222225</v>
      </c>
      <c r="I16" s="40">
        <v>8.4049999999999994</v>
      </c>
      <c r="J16" s="40">
        <f>Data!$I16/15</f>
        <v>0.56033333333333324</v>
      </c>
      <c r="K16" s="39">
        <f>(Data!$H16+Data!$J16)/2</f>
        <v>0.66627777777777775</v>
      </c>
      <c r="L16" s="41">
        <v>327700.76006211969</v>
      </c>
      <c r="M16" s="42">
        <f>L16/VLOOKUP(C16, exchange_rates[], 2, FALSE)</f>
        <v>6222.9540459954369</v>
      </c>
      <c r="N16" s="39">
        <f>( LN( Data!$M16 ) - LN(100) ) / ( LN(75000) - LN(100) )</f>
        <v>0.62398551876088948</v>
      </c>
      <c r="O16" s="43">
        <f>POWER((Data!$F16*Data!$K16*Data!$N16), 1/3)</f>
        <v>0.69647408246761744</v>
      </c>
    </row>
    <row r="17" spans="2:15" x14ac:dyDescent="0.3">
      <c r="B17" s="38" t="s">
        <v>29</v>
      </c>
      <c r="C17" s="38">
        <v>2018</v>
      </c>
      <c r="D17" s="38" t="s">
        <v>14</v>
      </c>
      <c r="E17" s="38">
        <v>73.150000000000006</v>
      </c>
      <c r="F17" s="39">
        <f>(Data!$E17-20)/65</f>
        <v>0.81769230769230783</v>
      </c>
      <c r="G17" s="40">
        <v>13.29</v>
      </c>
      <c r="H17" s="40">
        <f>Data!$G17/18</f>
        <v>0.73833333333333329</v>
      </c>
      <c r="I17" s="40">
        <v>8.7490000000000006</v>
      </c>
      <c r="J17" s="40">
        <f>Data!$I17/15</f>
        <v>0.58326666666666671</v>
      </c>
      <c r="K17" s="39">
        <f>(Data!$H17+Data!$J17)/2</f>
        <v>0.66080000000000005</v>
      </c>
      <c r="L17" s="41">
        <v>342099.24160019465</v>
      </c>
      <c r="M17" s="42">
        <f>L17/VLOOKUP(C17, exchange_rates[], 2, FALSE)</f>
        <v>6496.3775465285735</v>
      </c>
      <c r="N17" s="39">
        <f>( LN( Data!$M17 ) - LN(100) ) / ( LN(75000) - LN(100) )</f>
        <v>0.6304809152102191</v>
      </c>
      <c r="O17" s="43">
        <f>POWER((Data!$F17*Data!$K17*Data!$N17), 1/3)</f>
        <v>0.69841029173502012</v>
      </c>
    </row>
    <row r="18" spans="2:15" x14ac:dyDescent="0.3">
      <c r="B18" s="38" t="s">
        <v>30</v>
      </c>
      <c r="C18" s="38">
        <v>2018</v>
      </c>
      <c r="D18" s="38" t="s">
        <v>14</v>
      </c>
      <c r="E18" s="38">
        <v>74.5</v>
      </c>
      <c r="F18" s="39">
        <f>(Data!$E18-20)/65</f>
        <v>0.83846153846153848</v>
      </c>
      <c r="G18" s="40">
        <v>13.01</v>
      </c>
      <c r="H18" s="40">
        <f>Data!$G18/18</f>
        <v>0.72277777777777774</v>
      </c>
      <c r="I18" s="40">
        <v>8.4540000000000006</v>
      </c>
      <c r="J18" s="40">
        <f>Data!$I18/15</f>
        <v>0.56359999999999999</v>
      </c>
      <c r="K18" s="39">
        <f>(Data!$H18+Data!$J18)/2</f>
        <v>0.64318888888888881</v>
      </c>
      <c r="L18" s="41">
        <v>305240.77001911157</v>
      </c>
      <c r="M18" s="42">
        <f>L18/VLOOKUP(C18, exchange_rates[], 2, FALSE)</f>
        <v>5796.4445503059551</v>
      </c>
      <c r="N18" s="39">
        <f>( LN( Data!$M18 ) - LN(100) ) / ( LN(75000) - LN(100) )</f>
        <v>0.61326056183292632</v>
      </c>
      <c r="O18" s="43">
        <f>POWER((Data!$F18*Data!$K18*Data!$N18), 1/3)</f>
        <v>0.69154785486865489</v>
      </c>
    </row>
    <row r="19" spans="2:15" x14ac:dyDescent="0.3">
      <c r="B19" s="38" t="s">
        <v>31</v>
      </c>
      <c r="C19" s="38">
        <v>2018</v>
      </c>
      <c r="D19" s="38" t="s">
        <v>14</v>
      </c>
      <c r="E19" s="38">
        <v>70.36</v>
      </c>
      <c r="F19" s="39">
        <f>(Data!$E19-20)/65</f>
        <v>0.77476923076923077</v>
      </c>
      <c r="G19" s="40">
        <v>12.95</v>
      </c>
      <c r="H19" s="40">
        <f>Data!$G19/18</f>
        <v>0.71944444444444444</v>
      </c>
      <c r="I19" s="40">
        <v>8.0579999999999998</v>
      </c>
      <c r="J19" s="40">
        <f>Data!$I19/15</f>
        <v>0.53720000000000001</v>
      </c>
      <c r="K19" s="39">
        <f>(Data!$H19+Data!$J19)/2</f>
        <v>0.62832222222222223</v>
      </c>
      <c r="L19" s="41">
        <v>288040.43658410263</v>
      </c>
      <c r="M19" s="42">
        <f>L19/VLOOKUP(C19, exchange_rates[], 2, FALSE)</f>
        <v>5469.8145952165332</v>
      </c>
      <c r="N19" s="39">
        <f>( LN( Data!$M19 ) - LN(100) ) / ( LN(75000) - LN(100) )</f>
        <v>0.60449932941290019</v>
      </c>
      <c r="O19" s="43">
        <f>POWER((Data!$F19*Data!$K19*Data!$N19), 1/3)</f>
        <v>0.66514582490947671</v>
      </c>
    </row>
    <row r="20" spans="2:15" x14ac:dyDescent="0.3">
      <c r="B20" s="38" t="s">
        <v>32</v>
      </c>
      <c r="C20" s="38">
        <v>2018</v>
      </c>
      <c r="D20" s="38" t="s">
        <v>14</v>
      </c>
      <c r="E20" s="38">
        <v>73.89</v>
      </c>
      <c r="F20" s="39">
        <f>(Data!$E20-20)/65</f>
        <v>0.82907692307692304</v>
      </c>
      <c r="G20" s="40">
        <v>13.3</v>
      </c>
      <c r="H20" s="40">
        <f>Data!$G20/18</f>
        <v>0.73888888888888893</v>
      </c>
      <c r="I20" s="40">
        <v>8.5830000000000002</v>
      </c>
      <c r="J20" s="40">
        <f>Data!$I20/15</f>
        <v>0.57220000000000004</v>
      </c>
      <c r="K20" s="39">
        <f>(Data!$H20+Data!$J20)/2</f>
        <v>0.65554444444444449</v>
      </c>
      <c r="L20" s="41">
        <v>357130.36210609809</v>
      </c>
      <c r="M20" s="42">
        <f>L20/VLOOKUP(C20, exchange_rates[], 2, FALSE)</f>
        <v>6781.8147000778226</v>
      </c>
      <c r="N20" s="39">
        <f>( LN( Data!$M20 ) - LN(100) ) / ( LN(75000) - LN(100) )</f>
        <v>0.63697631165954871</v>
      </c>
      <c r="O20" s="43">
        <f>POWER((Data!$F20*Data!$K20*Data!$N20), 1/3)</f>
        <v>0.70216646387475568</v>
      </c>
    </row>
    <row r="21" spans="2:15" x14ac:dyDescent="0.3">
      <c r="B21" s="38" t="s">
        <v>16</v>
      </c>
      <c r="C21" s="38">
        <v>2018</v>
      </c>
      <c r="D21" s="38" t="s">
        <v>15</v>
      </c>
      <c r="E21" s="38">
        <v>66.349999999999994</v>
      </c>
      <c r="F21" s="39">
        <f>(Data!$E21-20)/65</f>
        <v>0.71307692307692294</v>
      </c>
      <c r="G21" s="40">
        <v>10.85</v>
      </c>
      <c r="H21" s="40">
        <f>Data!$G21/18</f>
        <v>0.60277777777777775</v>
      </c>
      <c r="I21" s="40">
        <v>5.6520000000000001</v>
      </c>
      <c r="J21" s="40">
        <f>Data!$I21/15</f>
        <v>0.37680000000000002</v>
      </c>
      <c r="K21" s="39">
        <f>(Data!$H21+Data!$J21)/2</f>
        <v>0.48978888888888888</v>
      </c>
      <c r="L21" s="41">
        <v>250410.32567225737</v>
      </c>
      <c r="M21" s="42">
        <f>L21/VLOOKUP(C21, exchange_rates[], 2, FALSE)</f>
        <v>4755.2283644560839</v>
      </c>
      <c r="N21" s="39">
        <f>( LN( Data!$M21 ) - LN(100) ) / ( LN(75000) - LN(100) )</f>
        <v>0.58335152701973392</v>
      </c>
      <c r="O21" s="43">
        <f>POWER((Data!$F21*Data!$K21*Data!$N21), 1/3)</f>
        <v>0.58842603945734551</v>
      </c>
    </row>
    <row r="22" spans="2:15" x14ac:dyDescent="0.3">
      <c r="B22" s="38" t="s">
        <v>17</v>
      </c>
      <c r="C22" s="38">
        <v>2018</v>
      </c>
      <c r="D22" s="38" t="s">
        <v>15</v>
      </c>
      <c r="E22" s="38">
        <v>72.25</v>
      </c>
      <c r="F22" s="39">
        <f>(Data!$E22-20)/65</f>
        <v>0.80384615384615388</v>
      </c>
      <c r="G22" s="40">
        <v>12.69</v>
      </c>
      <c r="H22" s="40">
        <f>Data!$G22/18</f>
        <v>0.70499999999999996</v>
      </c>
      <c r="I22" s="40">
        <v>8.7629999999999999</v>
      </c>
      <c r="J22" s="40">
        <f>Data!$I22/15</f>
        <v>0.58419999999999994</v>
      </c>
      <c r="K22" s="39">
        <f>(Data!$H22+Data!$J22)/2</f>
        <v>0.64459999999999995</v>
      </c>
      <c r="L22" s="41">
        <v>612838.15206862811</v>
      </c>
      <c r="M22" s="42">
        <f>L22/VLOOKUP(C22, exchange_rates[], 2, FALSE)</f>
        <v>11637.640563399698</v>
      </c>
      <c r="N22" s="39">
        <f>( LN( Data!$M22 ) - LN(100) ) / ( LN(75000) - LN(100) )</f>
        <v>0.71854640660461955</v>
      </c>
      <c r="O22" s="43">
        <f>POWER((Data!$F22*Data!$K22*Data!$N22), 1/3)</f>
        <v>0.71940373300932214</v>
      </c>
    </row>
    <row r="23" spans="2:15" x14ac:dyDescent="0.3">
      <c r="B23" s="38" t="s">
        <v>19</v>
      </c>
      <c r="C23" s="38">
        <v>2018</v>
      </c>
      <c r="D23" s="38" t="s">
        <v>15</v>
      </c>
      <c r="E23" s="38">
        <v>69.150000000000006</v>
      </c>
      <c r="F23" s="39">
        <f>(Data!$E23-20)/65</f>
        <v>0.75615384615384629</v>
      </c>
      <c r="G23" s="40">
        <v>12.5</v>
      </c>
      <c r="H23" s="40">
        <f>Data!$G23/18</f>
        <v>0.69444444444444442</v>
      </c>
      <c r="I23" s="40">
        <v>8.734</v>
      </c>
      <c r="J23" s="40">
        <f>Data!$I23/15</f>
        <v>0.58226666666666671</v>
      </c>
      <c r="K23" s="39">
        <f>(Data!$H23+Data!$J23)/2</f>
        <v>0.63835555555555556</v>
      </c>
      <c r="L23" s="41">
        <v>645548.84347580932</v>
      </c>
      <c r="M23" s="42">
        <f>L23/VLOOKUP(C23, exchange_rates[], 2, FALSE)</f>
        <v>12258.808269574807</v>
      </c>
      <c r="N23" s="39">
        <f>( LN( Data!$M23 ) - LN(100) ) / ( LN(75000) - LN(100) )</f>
        <v>0.7264013046363671</v>
      </c>
      <c r="O23" s="43">
        <f>POWER((Data!$F23*Data!$K23*Data!$N23), 1/3)</f>
        <v>0.70515264803175282</v>
      </c>
    </row>
    <row r="24" spans="2:15" x14ac:dyDescent="0.3">
      <c r="B24" s="38" t="s">
        <v>20</v>
      </c>
      <c r="C24" s="38">
        <v>2018</v>
      </c>
      <c r="D24" s="38" t="s">
        <v>15</v>
      </c>
      <c r="E24" s="38">
        <v>70.680000000000007</v>
      </c>
      <c r="F24" s="39">
        <f>(Data!$E24-20)/65</f>
        <v>0.7796923076923078</v>
      </c>
      <c r="G24" s="40">
        <v>12</v>
      </c>
      <c r="H24" s="40">
        <f>Data!$G24/18</f>
        <v>0.66666666666666663</v>
      </c>
      <c r="I24" s="40">
        <v>7.8280000000000003</v>
      </c>
      <c r="J24" s="40">
        <f>Data!$I24/15</f>
        <v>0.5218666666666667</v>
      </c>
      <c r="K24" s="39">
        <f>(Data!$H24+Data!$J24)/2</f>
        <v>0.59426666666666672</v>
      </c>
      <c r="L24" s="41">
        <v>529588.80991554609</v>
      </c>
      <c r="M24" s="42">
        <f>L24/VLOOKUP(C24, exchange_rates[], 2, FALSE)</f>
        <v>10056.756739755909</v>
      </c>
      <c r="N24" s="39">
        <f>( LN( Data!$M24 ) - LN(100) ) / ( LN(75000) - LN(100) )</f>
        <v>0.69649226982317436</v>
      </c>
      <c r="O24" s="43">
        <f>POWER((Data!$F24*Data!$K24*Data!$N24), 1/3)</f>
        <v>0.68592027504259667</v>
      </c>
    </row>
    <row r="25" spans="2:15" x14ac:dyDescent="0.3">
      <c r="B25" s="38" t="s">
        <v>21</v>
      </c>
      <c r="C25" s="38">
        <v>2018</v>
      </c>
      <c r="D25" s="38" t="s">
        <v>15</v>
      </c>
      <c r="E25" s="38">
        <v>70.95</v>
      </c>
      <c r="F25" s="39">
        <f>(Data!$E25-20)/65</f>
        <v>0.78384615384615386</v>
      </c>
      <c r="G25" s="40">
        <v>12.06</v>
      </c>
      <c r="H25" s="40">
        <f>Data!$G25/18</f>
        <v>0.67</v>
      </c>
      <c r="I25" s="40">
        <v>8.6880000000000006</v>
      </c>
      <c r="J25" s="40">
        <f>Data!$I25/15</f>
        <v>0.57920000000000005</v>
      </c>
      <c r="K25" s="39">
        <f>(Data!$H25+Data!$J25)/2</f>
        <v>0.62460000000000004</v>
      </c>
      <c r="L25" s="41">
        <v>728582.50689672586</v>
      </c>
      <c r="M25" s="42">
        <f>L25/VLOOKUP(C25, exchange_rates[], 2, FALSE)</f>
        <v>13835.596408976944</v>
      </c>
      <c r="N25" s="39">
        <f>( LN( Data!$M25 ) - LN(100) ) / ( LN(75000) - LN(100) )</f>
        <v>0.7446790481333182</v>
      </c>
      <c r="O25" s="43">
        <f>POWER((Data!$F25*Data!$K25*Data!$N25), 1/3)</f>
        <v>0.71438772256945282</v>
      </c>
    </row>
    <row r="26" spans="2:15" x14ac:dyDescent="0.3">
      <c r="B26" s="38" t="s">
        <v>22</v>
      </c>
      <c r="C26" s="38">
        <v>2018</v>
      </c>
      <c r="D26" s="38" t="s">
        <v>15</v>
      </c>
      <c r="E26" s="38">
        <v>70.56</v>
      </c>
      <c r="F26" s="39">
        <f>(Data!$E26-20)/65</f>
        <v>0.77784615384615385</v>
      </c>
      <c r="G26" s="40">
        <v>12.46</v>
      </c>
      <c r="H26" s="40">
        <f>Data!$G26/18</f>
        <v>0.69222222222222229</v>
      </c>
      <c r="I26" s="40">
        <v>9.1120000000000001</v>
      </c>
      <c r="J26" s="40">
        <f>Data!$I26/15</f>
        <v>0.60746666666666671</v>
      </c>
      <c r="K26" s="39">
        <f>(Data!$H26+Data!$J26)/2</f>
        <v>0.64984444444444445</v>
      </c>
      <c r="L26" s="41">
        <v>750020.75170383614</v>
      </c>
      <c r="M26" s="42">
        <f>L26/VLOOKUP(C26, exchange_rates[], 2, FALSE)</f>
        <v>14242.703222632666</v>
      </c>
      <c r="N26" s="39">
        <f>( LN( Data!$M26 ) - LN(100) ) / ( LN(75000) - LN(100) )</f>
        <v>0.74905966434333127</v>
      </c>
      <c r="O26" s="43">
        <f>POWER((Data!$F26*Data!$K26*Data!$N26), 1/3)</f>
        <v>0.7234466505305851</v>
      </c>
    </row>
    <row r="27" spans="2:15" x14ac:dyDescent="0.3">
      <c r="B27" s="38" t="s">
        <v>23</v>
      </c>
      <c r="C27" s="38">
        <v>2018</v>
      </c>
      <c r="D27" s="38" t="s">
        <v>15</v>
      </c>
      <c r="E27" s="38">
        <v>69.12</v>
      </c>
      <c r="F27" s="39">
        <f>(Data!$E27-20)/65</f>
        <v>0.75569230769230777</v>
      </c>
      <c r="G27" s="40">
        <v>12.14</v>
      </c>
      <c r="H27" s="40">
        <f>Data!$G27/18</f>
        <v>0.67444444444444451</v>
      </c>
      <c r="I27" s="40">
        <v>7.6029999999999998</v>
      </c>
      <c r="J27" s="40">
        <f>Data!$I27/15</f>
        <v>0.50686666666666669</v>
      </c>
      <c r="K27" s="39">
        <f>(Data!$H27+Data!$J27)/2</f>
        <v>0.5906555555555556</v>
      </c>
      <c r="L27" s="41">
        <v>456733.8677962955</v>
      </c>
      <c r="M27" s="42">
        <f>L27/VLOOKUP(C27, exchange_rates[], 2, FALSE)</f>
        <v>8673.2599277686204</v>
      </c>
      <c r="N27" s="39">
        <f>( LN( Data!$M27 ) - LN(100) ) / ( LN(75000) - LN(100) )</f>
        <v>0.6741360215789699</v>
      </c>
      <c r="O27" s="43">
        <f>POWER((Data!$F27*Data!$K27*Data!$N27), 1/3)</f>
        <v>0.67010410150577948</v>
      </c>
    </row>
    <row r="28" spans="2:15" x14ac:dyDescent="0.3">
      <c r="B28" s="38" t="s">
        <v>24</v>
      </c>
      <c r="C28" s="38">
        <v>2018</v>
      </c>
      <c r="D28" s="38" t="s">
        <v>15</v>
      </c>
      <c r="E28" s="38">
        <v>69.72</v>
      </c>
      <c r="F28" s="39">
        <f>(Data!$E28-20)/65</f>
        <v>0.76492307692307693</v>
      </c>
      <c r="G28" s="40">
        <v>12.21</v>
      </c>
      <c r="H28" s="40">
        <f>Data!$G28/18</f>
        <v>0.67833333333333334</v>
      </c>
      <c r="I28" s="40">
        <v>7.2610000000000001</v>
      </c>
      <c r="J28" s="40">
        <f>Data!$I28/15</f>
        <v>0.4840666666666667</v>
      </c>
      <c r="K28" s="39">
        <f>(Data!$H28+Data!$J28)/2</f>
        <v>0.58120000000000005</v>
      </c>
      <c r="L28" s="41">
        <v>431428.10279921431</v>
      </c>
      <c r="M28" s="42">
        <f>L28/VLOOKUP(C28, exchange_rates[], 2, FALSE)</f>
        <v>8192.7098898445565</v>
      </c>
      <c r="N28" s="39">
        <f>( LN( Data!$M28 ) - LN(100) ) / ( LN(75000) - LN(100) )</f>
        <v>0.66552584489032351</v>
      </c>
      <c r="O28" s="43">
        <f>POWER((Data!$F28*Data!$K28*Data!$N28), 1/3)</f>
        <v>0.6663505565638016</v>
      </c>
    </row>
    <row r="29" spans="2:15" x14ac:dyDescent="0.3">
      <c r="B29" s="38" t="s">
        <v>18</v>
      </c>
      <c r="C29" s="38">
        <v>2018</v>
      </c>
      <c r="D29" s="38" t="s">
        <v>15</v>
      </c>
      <c r="E29" s="38">
        <v>72.430000000000007</v>
      </c>
      <c r="F29" s="39">
        <f>(Data!$E29-20)/65</f>
        <v>0.80661538461538473</v>
      </c>
      <c r="G29" s="40">
        <v>12.8</v>
      </c>
      <c r="H29" s="40">
        <f>Data!$G29/18</f>
        <v>0.71111111111111114</v>
      </c>
      <c r="I29" s="40">
        <v>10.220000000000001</v>
      </c>
      <c r="J29" s="40">
        <f>Data!$I29/15</f>
        <v>0.68133333333333335</v>
      </c>
      <c r="K29" s="39">
        <f>(Data!$H29+Data!$J29)/2</f>
        <v>0.6962222222222223</v>
      </c>
      <c r="L29" s="41">
        <v>853291.20213281224</v>
      </c>
      <c r="M29" s="42">
        <f>L29/VLOOKUP(C29, exchange_rates[], 2, FALSE)</f>
        <v>16203.782797812615</v>
      </c>
      <c r="N29" s="39">
        <f>( LN( Data!$M29 ) - LN(100) ) / ( LN(75000) - LN(100) )</f>
        <v>0.76854585369132022</v>
      </c>
      <c r="O29" s="43">
        <f>POWER((Data!$F29*Data!$K29*Data!$N29), 1/3)</f>
        <v>0.75572082270546814</v>
      </c>
    </row>
    <row r="30" spans="2:15" x14ac:dyDescent="0.3">
      <c r="B30" s="38" t="s">
        <v>25</v>
      </c>
      <c r="C30" s="38">
        <v>2018</v>
      </c>
      <c r="D30" s="38" t="s">
        <v>15</v>
      </c>
      <c r="E30" s="38">
        <v>68.55</v>
      </c>
      <c r="F30" s="39">
        <f>(Data!$E30-20)/65</f>
        <v>0.74692307692307691</v>
      </c>
      <c r="G30" s="40">
        <v>12.29</v>
      </c>
      <c r="H30" s="40">
        <f>Data!$G30/18</f>
        <v>0.68277777777777771</v>
      </c>
      <c r="I30" s="40">
        <v>7.8570000000000002</v>
      </c>
      <c r="J30" s="40">
        <f>Data!$I30/15</f>
        <v>0.52380000000000004</v>
      </c>
      <c r="K30" s="39">
        <f>(Data!$H30+Data!$J30)/2</f>
        <v>0.60328888888888887</v>
      </c>
      <c r="L30" s="41">
        <v>449933.98638721806</v>
      </c>
      <c r="M30" s="42">
        <f>L30/VLOOKUP(C30, exchange_rates[], 2, FALSE)</f>
        <v>8544.1319101256759</v>
      </c>
      <c r="N30" s="39">
        <f>( LN( Data!$M30 ) - LN(100) ) / ( LN(75000) - LN(100) )</f>
        <v>0.67187018560827361</v>
      </c>
      <c r="O30" s="43">
        <f>POWER((Data!$F30*Data!$K30*Data!$N30), 1/3)</f>
        <v>0.67147346948555253</v>
      </c>
    </row>
    <row r="31" spans="2:15" x14ac:dyDescent="0.3">
      <c r="B31" s="38" t="s">
        <v>26</v>
      </c>
      <c r="C31" s="38">
        <v>2018</v>
      </c>
      <c r="D31" s="38" t="s">
        <v>15</v>
      </c>
      <c r="E31" s="38">
        <v>67.62</v>
      </c>
      <c r="F31" s="39">
        <f>(Data!$E31-20)/65</f>
        <v>0.73261538461538467</v>
      </c>
      <c r="G31" s="40">
        <v>12.48</v>
      </c>
      <c r="H31" s="40">
        <f>Data!$G31/18</f>
        <v>0.69333333333333336</v>
      </c>
      <c r="I31" s="40">
        <v>8.0250000000000004</v>
      </c>
      <c r="J31" s="40">
        <f>Data!$I31/15</f>
        <v>0.53500000000000003</v>
      </c>
      <c r="K31" s="39">
        <f>(Data!$H31+Data!$J31)/2</f>
        <v>0.61416666666666675</v>
      </c>
      <c r="L31" s="41">
        <v>479191.77138471947</v>
      </c>
      <c r="M31" s="42">
        <f>L31/VLOOKUP(C31, exchange_rates[], 2, FALSE)</f>
        <v>9099.7298022164741</v>
      </c>
      <c r="N31" s="39">
        <f>( LN( Data!$M31 ) - LN(100) ) / ( LN(75000) - LN(100) )</f>
        <v>0.68138669668519836</v>
      </c>
      <c r="O31" s="43">
        <f>POWER((Data!$F31*Data!$K31*Data!$N31), 1/3)</f>
        <v>0.67429816137801568</v>
      </c>
    </row>
    <row r="32" spans="2:15" x14ac:dyDescent="0.3">
      <c r="B32" s="38" t="s">
        <v>27</v>
      </c>
      <c r="C32" s="38">
        <v>2018</v>
      </c>
      <c r="D32" s="38" t="s">
        <v>15</v>
      </c>
      <c r="E32" s="38">
        <v>69.52</v>
      </c>
      <c r="F32" s="39">
        <f>(Data!$E32-20)/65</f>
        <v>0.76184615384615384</v>
      </c>
      <c r="G32" s="40">
        <v>12.36</v>
      </c>
      <c r="H32" s="40">
        <f>Data!$G32/18</f>
        <v>0.68666666666666665</v>
      </c>
      <c r="I32" s="40">
        <v>7.8159999999999998</v>
      </c>
      <c r="J32" s="40">
        <f>Data!$I32/15</f>
        <v>0.52106666666666668</v>
      </c>
      <c r="K32" s="39">
        <f>(Data!$H32+Data!$J32)/2</f>
        <v>0.60386666666666666</v>
      </c>
      <c r="L32" s="41">
        <v>531179.96187987563</v>
      </c>
      <c r="M32" s="42">
        <f>L32/VLOOKUP(C32, exchange_rates[], 2, FALSE)</f>
        <v>10086.972310669877</v>
      </c>
      <c r="N32" s="39">
        <f>( LN( Data!$M32 ) - LN(100) ) / ( LN(75000) - LN(100) )</f>
        <v>0.69694543701731371</v>
      </c>
      <c r="O32" s="43">
        <f>POWER((Data!$F32*Data!$K32*Data!$N32), 1/3)</f>
        <v>0.6844405084402565</v>
      </c>
    </row>
    <row r="33" spans="2:15" x14ac:dyDescent="0.3">
      <c r="B33" s="38" t="s">
        <v>28</v>
      </c>
      <c r="C33" s="38">
        <v>2018</v>
      </c>
      <c r="D33" s="38" t="s">
        <v>15</v>
      </c>
      <c r="E33" s="38">
        <v>69.22</v>
      </c>
      <c r="F33" s="39">
        <f>(Data!$E33-20)/65</f>
        <v>0.75723076923076926</v>
      </c>
      <c r="G33" s="40">
        <v>12.84</v>
      </c>
      <c r="H33" s="40">
        <f>Data!$G33/18</f>
        <v>0.71333333333333337</v>
      </c>
      <c r="I33" s="40">
        <v>7.4370000000000003</v>
      </c>
      <c r="J33" s="40">
        <f>Data!$I33/15</f>
        <v>0.49580000000000002</v>
      </c>
      <c r="K33" s="39">
        <f>(Data!$H33+Data!$J33)/2</f>
        <v>0.6045666666666667</v>
      </c>
      <c r="L33" s="41">
        <v>484976.71287112357</v>
      </c>
      <c r="M33" s="42">
        <f>L33/VLOOKUP(C33, exchange_rates[], 2, FALSE)</f>
        <v>9209.584368992093</v>
      </c>
      <c r="N33" s="39">
        <f>( LN( Data!$M33 ) - LN(100) ) / ( LN(75000) - LN(100) )</f>
        <v>0.68319936546175564</v>
      </c>
      <c r="O33" s="43">
        <f>POWER((Data!$F33*Data!$K33*Data!$N33), 1/3)</f>
        <v>0.67879708470159006</v>
      </c>
    </row>
    <row r="34" spans="2:15" x14ac:dyDescent="0.3">
      <c r="B34" s="38" t="s">
        <v>29</v>
      </c>
      <c r="C34" s="38">
        <v>2018</v>
      </c>
      <c r="D34" s="38" t="s">
        <v>15</v>
      </c>
      <c r="E34" s="38">
        <v>69.48</v>
      </c>
      <c r="F34" s="39">
        <f>(Data!$E34-20)/65</f>
        <v>0.76123076923076927</v>
      </c>
      <c r="G34" s="40">
        <v>12.32</v>
      </c>
      <c r="H34" s="40">
        <f>Data!$G34/18</f>
        <v>0.68444444444444441</v>
      </c>
      <c r="I34" s="40">
        <v>7.9790000000000001</v>
      </c>
      <c r="J34" s="40">
        <f>Data!$I34/15</f>
        <v>0.53193333333333337</v>
      </c>
      <c r="K34" s="39">
        <f>(Data!$H34+Data!$J34)/2</f>
        <v>0.60818888888888889</v>
      </c>
      <c r="L34" s="41">
        <v>507299.15307014569</v>
      </c>
      <c r="M34" s="42">
        <f>L34/VLOOKUP(C34, exchange_rates[], 2, FALSE)</f>
        <v>9633.48182814557</v>
      </c>
      <c r="N34" s="39">
        <f>( LN( Data!$M34 ) - LN(100) ) / ( LN(75000) - LN(100) )</f>
        <v>0.68999687337384485</v>
      </c>
      <c r="O34" s="43">
        <f>POWER((Data!$F34*Data!$K34*Data!$N34), 1/3)</f>
        <v>0.68359778408168359</v>
      </c>
    </row>
    <row r="35" spans="2:15" x14ac:dyDescent="0.3">
      <c r="B35" s="38" t="s">
        <v>30</v>
      </c>
      <c r="C35" s="38">
        <v>2018</v>
      </c>
      <c r="D35" s="38" t="s">
        <v>15</v>
      </c>
      <c r="E35" s="38">
        <v>70.58</v>
      </c>
      <c r="F35" s="39">
        <f>(Data!$E35-20)/65</f>
        <v>0.77815384615384608</v>
      </c>
      <c r="G35" s="40">
        <v>13.13</v>
      </c>
      <c r="H35" s="40">
        <f>Data!$G35/18</f>
        <v>0.72944444444444445</v>
      </c>
      <c r="I35" s="40">
        <v>7.77</v>
      </c>
      <c r="J35" s="40">
        <f>Data!$I35/15</f>
        <v>0.51800000000000002</v>
      </c>
      <c r="K35" s="39">
        <f>(Data!$H35+Data!$J35)/2</f>
        <v>0.62372222222222229</v>
      </c>
      <c r="L35" s="41">
        <v>449933.98638721806</v>
      </c>
      <c r="M35" s="42">
        <f>L35/VLOOKUP(C35, exchange_rates[], 2, FALSE)</f>
        <v>8544.1319101256759</v>
      </c>
      <c r="N35" s="39">
        <f>( LN( Data!$M35 ) - LN(100) ) / ( LN(75000) - LN(100) )</f>
        <v>0.67187018560827361</v>
      </c>
      <c r="O35" s="43">
        <f>POWER((Data!$F35*Data!$K35*Data!$N35), 1/3)</f>
        <v>0.68830462088590894</v>
      </c>
    </row>
    <row r="36" spans="2:15" x14ac:dyDescent="0.3">
      <c r="B36" s="38" t="s">
        <v>31</v>
      </c>
      <c r="C36" s="38">
        <v>2018</v>
      </c>
      <c r="D36" s="38" t="s">
        <v>15</v>
      </c>
      <c r="E36" s="38">
        <v>67.22</v>
      </c>
      <c r="F36" s="39">
        <f>(Data!$E36-20)/65</f>
        <v>0.72646153846153849</v>
      </c>
      <c r="G36" s="40">
        <v>12.11</v>
      </c>
      <c r="H36" s="40">
        <f>Data!$G36/18</f>
        <v>0.6727777777777777</v>
      </c>
      <c r="I36" s="40">
        <v>7.4340000000000002</v>
      </c>
      <c r="J36" s="40">
        <f>Data!$I36/15</f>
        <v>0.49559999999999998</v>
      </c>
      <c r="K36" s="39">
        <f>(Data!$H36+Data!$J36)/2</f>
        <v>0.58418888888888887</v>
      </c>
      <c r="L36" s="41">
        <v>423308.35075815755</v>
      </c>
      <c r="M36" s="42">
        <f>L36/VLOOKUP(C36, exchange_rates[], 2, FALSE)</f>
        <v>8038.5178647580251</v>
      </c>
      <c r="N36" s="39">
        <f>( LN( Data!$M36 ) - LN(100) ) / ( LN(75000) - LN(100) )</f>
        <v>0.66265578599410824</v>
      </c>
      <c r="O36" s="43">
        <f>POWER((Data!$F36*Data!$K36*Data!$N36), 1/3)</f>
        <v>0.65516592883173119</v>
      </c>
    </row>
    <row r="37" spans="2:15" x14ac:dyDescent="0.3">
      <c r="B37" s="38" t="s">
        <v>32</v>
      </c>
      <c r="C37" s="38">
        <v>2018</v>
      </c>
      <c r="D37" s="38" t="s">
        <v>15</v>
      </c>
      <c r="E37" s="38">
        <v>70.08</v>
      </c>
      <c r="F37" s="39">
        <f>(Data!$E37-20)/65</f>
        <v>0.77046153846153842</v>
      </c>
      <c r="G37" s="40">
        <v>12.44</v>
      </c>
      <c r="H37" s="40">
        <f>Data!$G37/18</f>
        <v>0.69111111111111112</v>
      </c>
      <c r="I37" s="40">
        <v>7.6719999999999997</v>
      </c>
      <c r="J37" s="40">
        <f>Data!$I37/15</f>
        <v>0.51146666666666663</v>
      </c>
      <c r="K37" s="39">
        <f>(Data!$H37+Data!$J37)/2</f>
        <v>0.60128888888888887</v>
      </c>
      <c r="L37" s="41">
        <v>530118.66360815417</v>
      </c>
      <c r="M37" s="42">
        <f>L37/VLOOKUP(C37, exchange_rates[], 2, FALSE)</f>
        <v>10066.818526550593</v>
      </c>
      <c r="N37" s="39">
        <f>( LN( Data!$M37 ) - LN(100) ) / ( LN(75000) - LN(100) )</f>
        <v>0.69664332555455433</v>
      </c>
      <c r="O37" s="43">
        <f>POWER((Data!$F37*Data!$K37*Data!$N37), 1/3)</f>
        <v>0.68593275330636871</v>
      </c>
    </row>
    <row r="38" spans="2:15" x14ac:dyDescent="0.3">
      <c r="B38" s="38" t="s">
        <v>16</v>
      </c>
      <c r="C38" s="38">
        <v>2019</v>
      </c>
      <c r="D38" s="38" t="s">
        <v>14</v>
      </c>
      <c r="E38" s="38">
        <v>70.31</v>
      </c>
      <c r="F38" s="39">
        <f>(Data!$E38-20)/65</f>
        <v>0.77400000000000002</v>
      </c>
      <c r="G38" s="40">
        <v>12.31</v>
      </c>
      <c r="H38" s="40">
        <f>Data!$G38/18</f>
        <v>0.68388888888888888</v>
      </c>
      <c r="I38" s="40">
        <v>6.5389999999999997</v>
      </c>
      <c r="J38" s="40">
        <f>Data!$I38/15</f>
        <v>0.43593333333333334</v>
      </c>
      <c r="K38" s="39">
        <f>(Data!$H38+Data!$J38)/2</f>
        <v>0.55991111111111114</v>
      </c>
      <c r="L38" s="41">
        <v>185285.13474345289</v>
      </c>
      <c r="M38" s="42">
        <f>L38/VLOOKUP(C38, exchange_rates[], 2, FALSE)</f>
        <v>3576.9331031554611</v>
      </c>
      <c r="N38" s="39">
        <f>( LN( Data!$M38 ) - LN(100) ) / ( LN(75000) - LN(100) )</f>
        <v>0.54034007473300849</v>
      </c>
      <c r="O38" s="43">
        <f>POWER((Data!$F38*Data!$K38*Data!$N38), 1/3)</f>
        <v>0.61637129976612726</v>
      </c>
    </row>
    <row r="39" spans="2:15" x14ac:dyDescent="0.3">
      <c r="B39" s="38" t="s">
        <v>17</v>
      </c>
      <c r="C39" s="38">
        <v>2019</v>
      </c>
      <c r="D39" s="38" t="s">
        <v>14</v>
      </c>
      <c r="E39" s="38">
        <v>76.489999999999995</v>
      </c>
      <c r="F39" s="39">
        <f>(Data!$E39-20)/65</f>
        <v>0.86907692307692297</v>
      </c>
      <c r="G39" s="40">
        <v>14.27</v>
      </c>
      <c r="H39" s="40">
        <f>Data!$G39/18</f>
        <v>0.7927777777777778</v>
      </c>
      <c r="I39" s="40">
        <v>9.93</v>
      </c>
      <c r="J39" s="40">
        <f>Data!$I39/15</f>
        <v>0.66200000000000003</v>
      </c>
      <c r="K39" s="39">
        <f>(Data!$H39+Data!$J39)/2</f>
        <v>0.72738888888888886</v>
      </c>
      <c r="L39" s="41">
        <v>430047.60309225792</v>
      </c>
      <c r="M39" s="42">
        <f>L39/VLOOKUP(C39, exchange_rates[], 2, FALSE)</f>
        <v>8302.0772797733189</v>
      </c>
      <c r="N39" s="39">
        <f>( LN( Data!$M39 ) - LN(100) ) / ( LN(75000) - LN(100) )</f>
        <v>0.66752900055476705</v>
      </c>
      <c r="O39" s="43">
        <f>POWER((Data!$F39*Data!$K39*Data!$N39), 1/3)</f>
        <v>0.7500640312378819</v>
      </c>
    </row>
    <row r="40" spans="2:15" x14ac:dyDescent="0.3">
      <c r="B40" s="38" t="s">
        <v>19</v>
      </c>
      <c r="C40" s="38">
        <v>2019</v>
      </c>
      <c r="D40" s="38" t="s">
        <v>14</v>
      </c>
      <c r="E40" s="38">
        <v>72.34</v>
      </c>
      <c r="F40" s="39">
        <f>(Data!$E40-20)/65</f>
        <v>0.80523076923076931</v>
      </c>
      <c r="G40" s="40">
        <v>13.46</v>
      </c>
      <c r="H40" s="40">
        <f>Data!$G40/18</f>
        <v>0.74777777777777787</v>
      </c>
      <c r="I40" s="40">
        <v>9.5909999999999993</v>
      </c>
      <c r="J40" s="40">
        <f>Data!$I40/15</f>
        <v>0.63939999999999997</v>
      </c>
      <c r="K40" s="39">
        <f>(Data!$H40+Data!$J40)/2</f>
        <v>0.69358888888888892</v>
      </c>
      <c r="L40" s="41">
        <v>447598.17871403438</v>
      </c>
      <c r="M40" s="42">
        <f>L40/VLOOKUP(C40, exchange_rates[], 2, FALSE)</f>
        <v>8640.8914809659145</v>
      </c>
      <c r="N40" s="39">
        <f>( LN( Data!$M40 ) - LN(100) ) / ( LN(75000) - LN(100) )</f>
        <v>0.67357122980995787</v>
      </c>
      <c r="O40" s="43">
        <f>POWER((Data!$F40*Data!$K40*Data!$N40), 1/3)</f>
        <v>0.72188608852853842</v>
      </c>
    </row>
    <row r="41" spans="2:15" x14ac:dyDescent="0.3">
      <c r="B41" s="38" t="s">
        <v>20</v>
      </c>
      <c r="C41" s="38">
        <v>2019</v>
      </c>
      <c r="D41" s="38" t="s">
        <v>14</v>
      </c>
      <c r="E41" s="38">
        <v>75.14</v>
      </c>
      <c r="F41" s="39">
        <f>(Data!$E41-20)/65</f>
        <v>0.84830769230769232</v>
      </c>
      <c r="G41" s="40">
        <v>13.88</v>
      </c>
      <c r="H41" s="40">
        <f>Data!$G41/18</f>
        <v>0.77111111111111119</v>
      </c>
      <c r="I41" s="40">
        <v>8.657</v>
      </c>
      <c r="J41" s="40">
        <f>Data!$I41/15</f>
        <v>0.57713333333333339</v>
      </c>
      <c r="K41" s="39">
        <f>(Data!$H41+Data!$J41)/2</f>
        <v>0.67412222222222229</v>
      </c>
      <c r="L41" s="41">
        <v>379136.35170975653</v>
      </c>
      <c r="M41" s="42">
        <f>L41/VLOOKUP(C41, exchange_rates[], 2, FALSE)</f>
        <v>7319.2345889914395</v>
      </c>
      <c r="N41" s="39">
        <f>( LN( Data!$M41 ) - LN(100) ) / ( LN(75000) - LN(100) )</f>
        <v>0.64849597840091755</v>
      </c>
      <c r="O41" s="43">
        <f>POWER((Data!$F41*Data!$K41*Data!$N41), 1/3)</f>
        <v>0.71845534267473254</v>
      </c>
    </row>
    <row r="42" spans="2:15" x14ac:dyDescent="0.3">
      <c r="B42" s="38" t="s">
        <v>21</v>
      </c>
      <c r="C42" s="38">
        <v>2019</v>
      </c>
      <c r="D42" s="38" t="s">
        <v>14</v>
      </c>
      <c r="E42" s="38">
        <v>74.8</v>
      </c>
      <c r="F42" s="39">
        <f>(Data!$E42-20)/65</f>
        <v>0.84307692307692306</v>
      </c>
      <c r="G42" s="40">
        <v>13.16</v>
      </c>
      <c r="H42" s="40">
        <f>Data!$G42/18</f>
        <v>0.73111111111111116</v>
      </c>
      <c r="I42" s="40">
        <v>9.2970000000000006</v>
      </c>
      <c r="J42" s="40">
        <f>Data!$I42/15</f>
        <v>0.61980000000000002</v>
      </c>
      <c r="K42" s="39">
        <f>(Data!$H42+Data!$J42)/2</f>
        <v>0.67545555555555559</v>
      </c>
      <c r="L42" s="41">
        <v>499144.63698329392</v>
      </c>
      <c r="M42" s="42">
        <f>L42/VLOOKUP(C42, exchange_rates[], 2, FALSE)</f>
        <v>9635.9968529593425</v>
      </c>
      <c r="N42" s="39">
        <f>( LN( Data!$M42 ) - LN(100) ) / ( LN(75000) - LN(100) )</f>
        <v>0.69003630453035181</v>
      </c>
      <c r="O42" s="43">
        <f>POWER((Data!$F42*Data!$K42*Data!$N42), 1/3)</f>
        <v>0.73245110779066791</v>
      </c>
    </row>
    <row r="43" spans="2:15" x14ac:dyDescent="0.3">
      <c r="B43" s="38" t="s">
        <v>22</v>
      </c>
      <c r="C43" s="38">
        <v>2019</v>
      </c>
      <c r="D43" s="38" t="s">
        <v>14</v>
      </c>
      <c r="E43" s="38">
        <v>74.290000000000006</v>
      </c>
      <c r="F43" s="39">
        <f>(Data!$E43-20)/65</f>
        <v>0.83523076923076933</v>
      </c>
      <c r="G43" s="40">
        <v>13.32</v>
      </c>
      <c r="H43" s="40">
        <f>Data!$G43/18</f>
        <v>0.74</v>
      </c>
      <c r="I43" s="40">
        <v>9.718</v>
      </c>
      <c r="J43" s="40">
        <f>Data!$I43/15</f>
        <v>0.6478666666666667</v>
      </c>
      <c r="K43" s="39">
        <f>(Data!$H43+Data!$J43)/2</f>
        <v>0.69393333333333329</v>
      </c>
      <c r="L43" s="41">
        <v>508210.58923991304</v>
      </c>
      <c r="M43" s="42">
        <f>L43/VLOOKUP(C43, exchange_rates[], 2, FALSE)</f>
        <v>9811.0152362917579</v>
      </c>
      <c r="N43" s="39">
        <f>( LN( Data!$M43 ) - LN(100) ) / ( LN(75000) - LN(100) )</f>
        <v>0.69275530769518701</v>
      </c>
      <c r="O43" s="43">
        <f>POWER((Data!$F43*Data!$K43*Data!$N43), 1/3)</f>
        <v>0.73773666047860753</v>
      </c>
    </row>
    <row r="44" spans="2:15" x14ac:dyDescent="0.3">
      <c r="B44" s="38" t="s">
        <v>23</v>
      </c>
      <c r="C44" s="38">
        <v>2019</v>
      </c>
      <c r="D44" s="38" t="s">
        <v>14</v>
      </c>
      <c r="E44" s="38">
        <v>72.91</v>
      </c>
      <c r="F44" s="39">
        <f>(Data!$E44-20)/65</f>
        <v>0.81399999999999995</v>
      </c>
      <c r="G44" s="40">
        <v>13.63</v>
      </c>
      <c r="H44" s="40">
        <f>Data!$G44/18</f>
        <v>0.75722222222222224</v>
      </c>
      <c r="I44" s="40">
        <v>8.6020000000000003</v>
      </c>
      <c r="J44" s="40">
        <f>Data!$I44/15</f>
        <v>0.57346666666666668</v>
      </c>
      <c r="K44" s="39">
        <f>(Data!$H44+Data!$J44)/2</f>
        <v>0.66534444444444452</v>
      </c>
      <c r="L44" s="41">
        <v>326325.68206928344</v>
      </c>
      <c r="M44" s="42">
        <f>L44/VLOOKUP(C44, exchange_rates[], 2, FALSE)</f>
        <v>6299.7235920711091</v>
      </c>
      <c r="N44" s="39">
        <f>( LN( Data!$M44 ) - LN(100) ) / ( LN(75000) - LN(100) )</f>
        <v>0.62583761869395338</v>
      </c>
      <c r="O44" s="43">
        <f>POWER((Data!$F44*Data!$K44*Data!$N44), 1/3)</f>
        <v>0.6972323591018933</v>
      </c>
    </row>
    <row r="45" spans="2:15" x14ac:dyDescent="0.3">
      <c r="B45" s="38" t="s">
        <v>24</v>
      </c>
      <c r="C45" s="38">
        <v>2019</v>
      </c>
      <c r="D45" s="38" t="s">
        <v>14</v>
      </c>
      <c r="E45" s="38">
        <v>73.12</v>
      </c>
      <c r="F45" s="39">
        <f>(Data!$E45-20)/65</f>
        <v>0.81723076923076932</v>
      </c>
      <c r="G45" s="40">
        <v>13.52</v>
      </c>
      <c r="H45" s="40">
        <f>Data!$G45/18</f>
        <v>0.75111111111111106</v>
      </c>
      <c r="I45" s="40">
        <v>7.94</v>
      </c>
      <c r="J45" s="40">
        <f>Data!$I45/15</f>
        <v>0.52933333333333332</v>
      </c>
      <c r="K45" s="39">
        <f>(Data!$H45+Data!$J45)/2</f>
        <v>0.64022222222222225</v>
      </c>
      <c r="L45" s="41">
        <v>308862.41147436737</v>
      </c>
      <c r="M45" s="42">
        <f>L45/VLOOKUP(C45, exchange_rates[], 2, FALSE)</f>
        <v>5962.5948161074784</v>
      </c>
      <c r="N45" s="39">
        <f>( LN( Data!$M45 ) - LN(100) ) / ( LN(75000) - LN(100) )</f>
        <v>0.61752955346806659</v>
      </c>
      <c r="O45" s="43">
        <f>POWER((Data!$F45*Data!$K45*Data!$N45), 1/3)</f>
        <v>0.68619002467196155</v>
      </c>
    </row>
    <row r="46" spans="2:15" x14ac:dyDescent="0.3">
      <c r="B46" s="38" t="s">
        <v>18</v>
      </c>
      <c r="C46" s="38">
        <v>2019</v>
      </c>
      <c r="D46" s="38" t="s">
        <v>14</v>
      </c>
      <c r="E46" s="38">
        <v>76.8</v>
      </c>
      <c r="F46" s="39">
        <f>(Data!$E46-20)/65</f>
        <v>0.87384615384615383</v>
      </c>
      <c r="G46" s="40">
        <v>13.65</v>
      </c>
      <c r="H46" s="40">
        <f>Data!$G46/18</f>
        <v>0.7583333333333333</v>
      </c>
      <c r="I46" s="40">
        <v>10.7</v>
      </c>
      <c r="J46" s="40">
        <f>Data!$I46/15</f>
        <v>0.71333333333333326</v>
      </c>
      <c r="K46" s="39">
        <f>(Data!$H46+Data!$J46)/2</f>
        <v>0.73583333333333334</v>
      </c>
      <c r="L46" s="41">
        <v>557184.21225160477</v>
      </c>
      <c r="M46" s="42">
        <f>L46/VLOOKUP(C46, exchange_rates[], 2, FALSE)</f>
        <v>10756.451973969204</v>
      </c>
      <c r="N46" s="39">
        <f>( LN( Data!$M46 ) - LN(100) ) / ( LN(75000) - LN(100) )</f>
        <v>0.70665243498212538</v>
      </c>
      <c r="O46" s="43">
        <f>POWER((Data!$F46*Data!$K46*Data!$N46), 1/3)</f>
        <v>0.76878830030464618</v>
      </c>
    </row>
    <row r="47" spans="2:15" x14ac:dyDescent="0.3">
      <c r="B47" s="38" t="s">
        <v>25</v>
      </c>
      <c r="C47" s="38">
        <v>2019</v>
      </c>
      <c r="D47" s="38" t="s">
        <v>14</v>
      </c>
      <c r="E47" s="38">
        <v>72.44</v>
      </c>
      <c r="F47" s="39">
        <f>(Data!$E47-20)/65</f>
        <v>0.80676923076923068</v>
      </c>
      <c r="G47" s="40">
        <v>13.2</v>
      </c>
      <c r="H47" s="40">
        <f>Data!$G47/18</f>
        <v>0.73333333333333328</v>
      </c>
      <c r="I47" s="40">
        <v>8.673</v>
      </c>
      <c r="J47" s="40">
        <f>Data!$I47/15</f>
        <v>0.57820000000000005</v>
      </c>
      <c r="K47" s="39">
        <f>(Data!$H47+Data!$J47)/2</f>
        <v>0.65576666666666661</v>
      </c>
      <c r="L47" s="41">
        <v>325348.17202127998</v>
      </c>
      <c r="M47" s="42">
        <f>L47/VLOOKUP(C47, exchange_rates[], 2, FALSE)</f>
        <v>6280.8527417235518</v>
      </c>
      <c r="N47" s="39">
        <f>( LN( Data!$M47 ) - LN(100) ) / ( LN(75000) - LN(100) )</f>
        <v>0.62538445149981414</v>
      </c>
      <c r="O47" s="43">
        <f>POWER((Data!$F47*Data!$K47*Data!$N47), 1/3)</f>
        <v>0.69164288610728342</v>
      </c>
    </row>
    <row r="48" spans="2:15" x14ac:dyDescent="0.3">
      <c r="B48" s="38" t="s">
        <v>26</v>
      </c>
      <c r="C48" s="38">
        <v>2019</v>
      </c>
      <c r="D48" s="38" t="s">
        <v>14</v>
      </c>
      <c r="E48" s="38">
        <v>71.8</v>
      </c>
      <c r="F48" s="39">
        <f>(Data!$E48-20)/65</f>
        <v>0.79692307692307685</v>
      </c>
      <c r="G48" s="40">
        <v>13.7</v>
      </c>
      <c r="H48" s="40">
        <f>Data!$G48/18</f>
        <v>0.76111111111111107</v>
      </c>
      <c r="I48" s="40">
        <v>8.968</v>
      </c>
      <c r="J48" s="40">
        <f>Data!$I48/15</f>
        <v>0.59786666666666666</v>
      </c>
      <c r="K48" s="39">
        <f>(Data!$H48+Data!$J48)/2</f>
        <v>0.67948888888888881</v>
      </c>
      <c r="L48" s="41">
        <v>345812.21877420729</v>
      </c>
      <c r="M48" s="42">
        <f>L48/VLOOKUP(C48, exchange_rates[], 2, FALSE)</f>
        <v>6675.9115593476317</v>
      </c>
      <c r="N48" s="39">
        <f>( LN( Data!$M48 ) - LN(100) ) / ( LN(75000) - LN(100) )</f>
        <v>0.63459885111397951</v>
      </c>
      <c r="O48" s="43">
        <f>POWER((Data!$F48*Data!$K48*Data!$N48), 1/3)</f>
        <v>0.70043205743911641</v>
      </c>
    </row>
    <row r="49" spans="2:15" x14ac:dyDescent="0.3">
      <c r="B49" s="38" t="s">
        <v>27</v>
      </c>
      <c r="C49" s="38">
        <v>2019</v>
      </c>
      <c r="D49" s="38" t="s">
        <v>14</v>
      </c>
      <c r="E49" s="38">
        <v>73.3</v>
      </c>
      <c r="F49" s="39">
        <f>(Data!$E49-20)/65</f>
        <v>0.82</v>
      </c>
      <c r="G49" s="40">
        <v>13.52</v>
      </c>
      <c r="H49" s="40">
        <f>Data!$G49/18</f>
        <v>0.75111111111111106</v>
      </c>
      <c r="I49" s="40">
        <v>8.5690000000000008</v>
      </c>
      <c r="J49" s="40">
        <f>Data!$I49/15</f>
        <v>0.5712666666666667</v>
      </c>
      <c r="K49" s="39">
        <f>(Data!$H49+Data!$J49)/2</f>
        <v>0.66118888888888883</v>
      </c>
      <c r="L49" s="41">
        <v>367931.17912260914</v>
      </c>
      <c r="M49" s="42">
        <f>L49/VLOOKUP(C49, exchange_rates[], 2, FALSE)</f>
        <v>7102.9185158804858</v>
      </c>
      <c r="N49" s="39">
        <f>( LN( Data!$M49 ) - LN(100) ) / ( LN(75000) - LN(100) )</f>
        <v>0.64396430645952452</v>
      </c>
      <c r="O49" s="43">
        <f>POWER((Data!$F49*Data!$K49*Data!$N49), 1/3)</f>
        <v>0.70415305049814714</v>
      </c>
    </row>
    <row r="50" spans="2:15" x14ac:dyDescent="0.3">
      <c r="B50" s="38" t="s">
        <v>28</v>
      </c>
      <c r="C50" s="38">
        <v>2019</v>
      </c>
      <c r="D50" s="38" t="s">
        <v>14</v>
      </c>
      <c r="E50" s="38">
        <v>72.98</v>
      </c>
      <c r="F50" s="39">
        <f>(Data!$E50-20)/65</f>
        <v>0.81507692307692314</v>
      </c>
      <c r="G50" s="40">
        <v>14.05</v>
      </c>
      <c r="H50" s="40">
        <f>Data!$G50/18</f>
        <v>0.78055555555555556</v>
      </c>
      <c r="I50" s="40">
        <v>8.6950000000000003</v>
      </c>
      <c r="J50" s="40">
        <f>Data!$I50/15</f>
        <v>0.57966666666666666</v>
      </c>
      <c r="K50" s="39">
        <f>(Data!$H50+Data!$J50)/2</f>
        <v>0.68011111111111111</v>
      </c>
      <c r="L50" s="41">
        <v>343743.55765091151</v>
      </c>
      <c r="M50" s="42">
        <f>L50/VLOOKUP(C50, exchange_rates[], 2, FALSE)</f>
        <v>6635.9760164268637</v>
      </c>
      <c r="N50" s="39">
        <f>( LN( Data!$M50 ) - LN(100) ) / ( LN(75000) - LN(100) )</f>
        <v>0.63369251672570093</v>
      </c>
      <c r="O50" s="43">
        <f>POWER((Data!$F50*Data!$K50*Data!$N50), 1/3)</f>
        <v>0.70558988876981577</v>
      </c>
    </row>
    <row r="51" spans="2:15" x14ac:dyDescent="0.3">
      <c r="B51" s="38" t="s">
        <v>29</v>
      </c>
      <c r="C51" s="38">
        <v>2019</v>
      </c>
      <c r="D51" s="38" t="s">
        <v>14</v>
      </c>
      <c r="E51" s="38">
        <v>73.63</v>
      </c>
      <c r="F51" s="39">
        <f>(Data!$E51-20)/65</f>
        <v>0.82507692307692304</v>
      </c>
      <c r="G51" s="40">
        <v>13.57</v>
      </c>
      <c r="H51" s="40">
        <f>Data!$G51/18</f>
        <v>0.75388888888888894</v>
      </c>
      <c r="I51" s="40">
        <v>8.9949999999999992</v>
      </c>
      <c r="J51" s="40">
        <f>Data!$I51/15</f>
        <v>0.59966666666666657</v>
      </c>
      <c r="K51" s="39">
        <f>(Data!$H51+Data!$J51)/2</f>
        <v>0.6767777777777777</v>
      </c>
      <c r="L51" s="41">
        <v>369036.63000721583</v>
      </c>
      <c r="M51" s="42">
        <f>L51/VLOOKUP(C51, exchange_rates[], 2, FALSE)</f>
        <v>7124.259266548569</v>
      </c>
      <c r="N51" s="39">
        <f>( LN( Data!$M51 ) - LN(100) ) / ( LN(75000) - LN(100) )</f>
        <v>0.64441747365366386</v>
      </c>
      <c r="O51" s="43">
        <f>POWER((Data!$F51*Data!$K51*Data!$N51), 1/3)</f>
        <v>0.71127238252560154</v>
      </c>
    </row>
    <row r="52" spans="2:15" x14ac:dyDescent="0.3">
      <c r="B52" s="38" t="s">
        <v>30</v>
      </c>
      <c r="C52" s="38">
        <v>2019</v>
      </c>
      <c r="D52" s="38" t="s">
        <v>14</v>
      </c>
      <c r="E52" s="38">
        <v>74.930000000000007</v>
      </c>
      <c r="F52" s="39">
        <f>(Data!$E52-20)/65</f>
        <v>0.84507692307692317</v>
      </c>
      <c r="G52" s="40">
        <v>13.22</v>
      </c>
      <c r="H52" s="40">
        <f>Data!$G52/18</f>
        <v>0.73444444444444446</v>
      </c>
      <c r="I52" s="40">
        <v>8.76</v>
      </c>
      <c r="J52" s="40">
        <f>Data!$I52/15</f>
        <v>0.58399999999999996</v>
      </c>
      <c r="K52" s="39">
        <f>(Data!$H52+Data!$J52)/2</f>
        <v>0.65922222222222215</v>
      </c>
      <c r="L52" s="41">
        <v>332917.89813222789</v>
      </c>
      <c r="M52" s="42">
        <f>L52/VLOOKUP(C52, exchange_rates[], 2, FALSE)</f>
        <v>6426.9864504291099</v>
      </c>
      <c r="N52" s="39">
        <f>( LN( Data!$M52 ) - LN(100) ) / ( LN(75000) - LN(100) )</f>
        <v>0.62885873332154829</v>
      </c>
      <c r="O52" s="43">
        <f>POWER((Data!$F52*Data!$K52*Data!$N52), 1/3)</f>
        <v>0.70495337262795721</v>
      </c>
    </row>
    <row r="53" spans="2:15" x14ac:dyDescent="0.3">
      <c r="B53" s="38" t="s">
        <v>31</v>
      </c>
      <c r="C53" s="38">
        <v>2019</v>
      </c>
      <c r="D53" s="38" t="s">
        <v>14</v>
      </c>
      <c r="E53" s="38">
        <v>71.03</v>
      </c>
      <c r="F53" s="39">
        <f>(Data!$E53-20)/65</f>
        <v>0.78507692307692312</v>
      </c>
      <c r="G53" s="40">
        <v>13.24</v>
      </c>
      <c r="H53" s="40">
        <f>Data!$G53/18</f>
        <v>0.73555555555555552</v>
      </c>
      <c r="I53" s="40">
        <v>8.3339999999999996</v>
      </c>
      <c r="J53" s="40">
        <f>Data!$I53/15</f>
        <v>0.55559999999999998</v>
      </c>
      <c r="K53" s="39">
        <f>(Data!$H53+Data!$J53)/2</f>
        <v>0.64557777777777781</v>
      </c>
      <c r="L53" s="41">
        <v>308553.70344263472</v>
      </c>
      <c r="M53" s="42">
        <f>L53/VLOOKUP(C53, exchange_rates[], 2, FALSE)</f>
        <v>5956.6352015952652</v>
      </c>
      <c r="N53" s="39">
        <f>( LN( Data!$M53 ) - LN(100) ) / ( LN(75000) - LN(100) )</f>
        <v>0.61737849773668696</v>
      </c>
      <c r="O53" s="43">
        <f>POWER((Data!$F53*Data!$K53*Data!$N53), 1/3)</f>
        <v>0.67889732059230279</v>
      </c>
    </row>
    <row r="54" spans="2:15" x14ac:dyDescent="0.3">
      <c r="B54" s="38" t="s">
        <v>32</v>
      </c>
      <c r="C54" s="38">
        <v>2019</v>
      </c>
      <c r="D54" s="38" t="s">
        <v>14</v>
      </c>
      <c r="E54" s="38">
        <v>74.400000000000006</v>
      </c>
      <c r="F54" s="39">
        <f>(Data!$E54-20)/65</f>
        <v>0.83692307692307699</v>
      </c>
      <c r="G54" s="40">
        <v>13.56</v>
      </c>
      <c r="H54" s="40">
        <f>Data!$G54/18</f>
        <v>0.75333333333333341</v>
      </c>
      <c r="I54" s="40">
        <v>8.8780000000000001</v>
      </c>
      <c r="J54" s="40">
        <f>Data!$I54/15</f>
        <v>0.59186666666666665</v>
      </c>
      <c r="K54" s="39">
        <f>(Data!$H54+Data!$J54)/2</f>
        <v>0.67260000000000009</v>
      </c>
      <c r="L54" s="41">
        <v>373491.74680682697</v>
      </c>
      <c r="M54" s="42">
        <f>L54/VLOOKUP(C54, exchange_rates[], 2, FALSE)</f>
        <v>7210.2653823711771</v>
      </c>
      <c r="N54" s="39">
        <f>( LN( Data!$M54 ) - LN(100) ) / ( LN(75000) - LN(100) )</f>
        <v>0.64623014243022081</v>
      </c>
      <c r="O54" s="43">
        <f>POWER((Data!$F54*Data!$K54*Data!$N54), 1/3)</f>
        <v>0.71385478079288822</v>
      </c>
    </row>
    <row r="55" spans="2:15" x14ac:dyDescent="0.3">
      <c r="B55" s="38" t="s">
        <v>16</v>
      </c>
      <c r="C55" s="38">
        <v>2019</v>
      </c>
      <c r="D55" s="38" t="s">
        <v>15</v>
      </c>
      <c r="E55" s="38">
        <v>67.19</v>
      </c>
      <c r="F55" s="39">
        <f>(Data!$E55-20)/65</f>
        <v>0.72599999999999998</v>
      </c>
      <c r="G55" s="40">
        <v>11.1</v>
      </c>
      <c r="H55" s="40">
        <f>Data!$G55/18</f>
        <v>0.6166666666666667</v>
      </c>
      <c r="I55" s="40">
        <v>5.9740000000000002</v>
      </c>
      <c r="J55" s="40">
        <f>Data!$I55/15</f>
        <v>0.39826666666666666</v>
      </c>
      <c r="K55" s="39">
        <f>(Data!$H55+Data!$J55)/2</f>
        <v>0.50746666666666673</v>
      </c>
      <c r="L55" s="41">
        <v>258758.68453224786</v>
      </c>
      <c r="M55" s="42">
        <f>L55/VLOOKUP(C55, exchange_rates[], 2, FALSE)</f>
        <v>4995.3414002364452</v>
      </c>
      <c r="N55" s="39">
        <f>( LN( Data!$M55 ) - LN(100) ) / ( LN(75000) - LN(100) )</f>
        <v>0.59079268901384907</v>
      </c>
      <c r="O55" s="43">
        <f>POWER((Data!$F55*Data!$K55*Data!$N55), 1/3)</f>
        <v>0.601533406584006</v>
      </c>
    </row>
    <row r="56" spans="2:15" x14ac:dyDescent="0.3">
      <c r="B56" s="38" t="s">
        <v>17</v>
      </c>
      <c r="C56" s="38">
        <v>2019</v>
      </c>
      <c r="D56" s="38" t="s">
        <v>15</v>
      </c>
      <c r="E56" s="38">
        <v>72.2</v>
      </c>
      <c r="F56" s="39">
        <f>(Data!$E56-20)/65</f>
        <v>0.80307692307692313</v>
      </c>
      <c r="G56" s="40">
        <v>13.06</v>
      </c>
      <c r="H56" s="40">
        <f>Data!$G56/18</f>
        <v>0.72555555555555562</v>
      </c>
      <c r="I56" s="40">
        <v>9.1</v>
      </c>
      <c r="J56" s="40">
        <f>Data!$I56/15</f>
        <v>0.60666666666666669</v>
      </c>
      <c r="K56" s="39">
        <f>(Data!$H56+Data!$J56)/2</f>
        <v>0.6661111111111111</v>
      </c>
      <c r="L56" s="41">
        <v>621350.85570764763</v>
      </c>
      <c r="M56" s="42">
        <f>L56/VLOOKUP(C56, exchange_rates[], 2, FALSE)</f>
        <v>11995.190264626402</v>
      </c>
      <c r="N56" s="39">
        <f>( LN( Data!$M56 ) - LN(100) ) / ( LN(75000) - LN(100) )</f>
        <v>0.72311750970251898</v>
      </c>
      <c r="O56" s="43">
        <f>POWER((Data!$F56*Data!$K56*Data!$N56), 1/3)</f>
        <v>0.72862527801039612</v>
      </c>
    </row>
    <row r="57" spans="2:15" x14ac:dyDescent="0.3">
      <c r="B57" s="38" t="s">
        <v>19</v>
      </c>
      <c r="C57" s="38">
        <v>2019</v>
      </c>
      <c r="D57" s="38" t="s">
        <v>15</v>
      </c>
      <c r="E57" s="38">
        <v>68.849999999999994</v>
      </c>
      <c r="F57" s="39">
        <f>(Data!$E57-20)/65</f>
        <v>0.75153846153846149</v>
      </c>
      <c r="G57" s="40">
        <v>12.73</v>
      </c>
      <c r="H57" s="40">
        <f>Data!$G57/18</f>
        <v>0.7072222222222222</v>
      </c>
      <c r="I57" s="40">
        <v>9.0050000000000008</v>
      </c>
      <c r="J57" s="40">
        <f>Data!$I57/15</f>
        <v>0.60033333333333339</v>
      </c>
      <c r="K57" s="39">
        <f>(Data!$H57+Data!$J57)/2</f>
        <v>0.65377777777777779</v>
      </c>
      <c r="L57" s="41">
        <v>647355.69730149838</v>
      </c>
      <c r="M57" s="42">
        <f>L57/VLOOKUP(C57, exchange_rates[], 2, FALSE)</f>
        <v>12497.214233619661</v>
      </c>
      <c r="N57" s="39">
        <f>( LN( Data!$M57 ) - LN(100) ) / ( LN(75000) - LN(100) )</f>
        <v>0.72931079468908955</v>
      </c>
      <c r="O57" s="43">
        <f>POWER((Data!$F57*Data!$K57*Data!$N57), 1/3)</f>
        <v>0.71028286191510115</v>
      </c>
    </row>
    <row r="58" spans="2:15" x14ac:dyDescent="0.3">
      <c r="B58" s="38" t="s">
        <v>20</v>
      </c>
      <c r="C58" s="38">
        <v>2019</v>
      </c>
      <c r="D58" s="38" t="s">
        <v>15</v>
      </c>
      <c r="E58" s="38">
        <v>71.11</v>
      </c>
      <c r="F58" s="39">
        <f>(Data!$E58-20)/65</f>
        <v>0.78630769230769226</v>
      </c>
      <c r="G58" s="40">
        <v>12.51</v>
      </c>
      <c r="H58" s="40">
        <f>Data!$G58/18</f>
        <v>0.69499999999999995</v>
      </c>
      <c r="I58" s="40">
        <v>8.0760000000000005</v>
      </c>
      <c r="J58" s="40">
        <f>Data!$I58/15</f>
        <v>0.53839999999999999</v>
      </c>
      <c r="K58" s="39">
        <f>(Data!$H58+Data!$J58)/2</f>
        <v>0.61670000000000003</v>
      </c>
      <c r="L58" s="41">
        <v>545060.01475983299</v>
      </c>
      <c r="M58" s="42">
        <f>L58/VLOOKUP(C58, exchange_rates[], 2, FALSE)</f>
        <v>10522.394107332684</v>
      </c>
      <c r="N58" s="39">
        <f>( LN( Data!$M58 ) - LN(100) ) / ( LN(75000) - LN(100) )</f>
        <v>0.70332920889177064</v>
      </c>
      <c r="O58" s="43">
        <f>POWER((Data!$F58*Data!$K58*Data!$N58), 1/3)</f>
        <v>0.69867474031796784</v>
      </c>
    </row>
    <row r="59" spans="2:15" x14ac:dyDescent="0.3">
      <c r="B59" s="38" t="s">
        <v>21</v>
      </c>
      <c r="C59" s="38">
        <v>2019</v>
      </c>
      <c r="D59" s="38" t="s">
        <v>15</v>
      </c>
      <c r="E59" s="38">
        <v>70.84</v>
      </c>
      <c r="F59" s="39">
        <f>(Data!$E59-20)/65</f>
        <v>0.7821538461538462</v>
      </c>
      <c r="G59" s="40">
        <v>12.42</v>
      </c>
      <c r="H59" s="40">
        <f>Data!$G59/18</f>
        <v>0.69</v>
      </c>
      <c r="I59" s="40">
        <v>9.0069999999999997</v>
      </c>
      <c r="J59" s="40">
        <f>Data!$I59/15</f>
        <v>0.60046666666666659</v>
      </c>
      <c r="K59" s="39">
        <f>(Data!$H59+Data!$J59)/2</f>
        <v>0.64523333333333333</v>
      </c>
      <c r="L59" s="41">
        <v>725525.27330651623</v>
      </c>
      <c r="M59" s="42">
        <f>L59/VLOOKUP(C59, exchange_rates[], 2, FALSE)</f>
        <v>14006.279407461705</v>
      </c>
      <c r="N59" s="39">
        <f>( LN( Data!$M59 ) - LN(100) ) / ( LN(75000) - LN(100) )</f>
        <v>0.7465311480663821</v>
      </c>
      <c r="O59" s="43">
        <f>POWER((Data!$F59*Data!$K59*Data!$N59), 1/3)</f>
        <v>0.72224681908196331</v>
      </c>
    </row>
    <row r="60" spans="2:15" x14ac:dyDescent="0.3">
      <c r="B60" s="38" t="s">
        <v>22</v>
      </c>
      <c r="C60" s="38">
        <v>2019</v>
      </c>
      <c r="D60" s="38" t="s">
        <v>15</v>
      </c>
      <c r="E60" s="38">
        <v>70.430000000000007</v>
      </c>
      <c r="F60" s="39">
        <f>(Data!$E60-20)/65</f>
        <v>0.77584615384615396</v>
      </c>
      <c r="G60" s="40">
        <v>12.66</v>
      </c>
      <c r="H60" s="40">
        <f>Data!$G60/18</f>
        <v>0.70333333333333337</v>
      </c>
      <c r="I60" s="40">
        <v>9.3870000000000005</v>
      </c>
      <c r="J60" s="40">
        <f>Data!$I60/15</f>
        <v>0.62580000000000002</v>
      </c>
      <c r="K60" s="39">
        <f>(Data!$H60+Data!$J60)/2</f>
        <v>0.66456666666666675</v>
      </c>
      <c r="L60" s="41">
        <v>738702.9717157816</v>
      </c>
      <c r="M60" s="42">
        <f>L60/VLOOKUP(C60, exchange_rates[], 2, FALSE)</f>
        <v>14260.675129648294</v>
      </c>
      <c r="N60" s="39">
        <f>( LN( Data!$M60 ) - LN(100) ) / ( LN(75000) - LN(100) )</f>
        <v>0.74925015123121785</v>
      </c>
      <c r="O60" s="43">
        <f>POWER((Data!$F60*Data!$K60*Data!$N60), 1/3)</f>
        <v>0.72830563189877306</v>
      </c>
    </row>
    <row r="61" spans="2:15" x14ac:dyDescent="0.3">
      <c r="B61" s="38" t="s">
        <v>23</v>
      </c>
      <c r="C61" s="38">
        <v>2019</v>
      </c>
      <c r="D61" s="38" t="s">
        <v>15</v>
      </c>
      <c r="E61" s="38">
        <v>69.31</v>
      </c>
      <c r="F61" s="39">
        <f>(Data!$E61-20)/65</f>
        <v>0.75861538461538469</v>
      </c>
      <c r="G61" s="40">
        <v>12.6</v>
      </c>
      <c r="H61" s="40">
        <f>Data!$G61/18</f>
        <v>0.7</v>
      </c>
      <c r="I61" s="40">
        <v>7.8440000000000003</v>
      </c>
      <c r="J61" s="40">
        <f>Data!$I61/15</f>
        <v>0.52293333333333336</v>
      </c>
      <c r="K61" s="39">
        <f>(Data!$H61+Data!$J61)/2</f>
        <v>0.6114666666666666</v>
      </c>
      <c r="L61" s="41">
        <v>466331.10493153788</v>
      </c>
      <c r="M61" s="42">
        <f>L61/VLOOKUP(C61, exchange_rates[], 2, FALSE)</f>
        <v>9002.5309832343228</v>
      </c>
      <c r="N61" s="39">
        <f>( LN( Data!$M61 ) - LN(100) ) / ( LN(75000) - LN(100) )</f>
        <v>0.67976451479652789</v>
      </c>
      <c r="O61" s="43">
        <f>POWER((Data!$F61*Data!$K61*Data!$N61), 1/3)</f>
        <v>0.6806402705740876</v>
      </c>
    </row>
    <row r="62" spans="2:15" x14ac:dyDescent="0.3">
      <c r="B62" s="38" t="s">
        <v>24</v>
      </c>
      <c r="C62" s="38">
        <v>2019</v>
      </c>
      <c r="D62" s="38" t="s">
        <v>15</v>
      </c>
      <c r="E62" s="38">
        <v>69.489999999999995</v>
      </c>
      <c r="F62" s="39">
        <f>(Data!$E62-20)/65</f>
        <v>0.76138461538461533</v>
      </c>
      <c r="G62" s="40">
        <v>12.54</v>
      </c>
      <c r="H62" s="40">
        <f>Data!$G62/18</f>
        <v>0.69666666666666666</v>
      </c>
      <c r="I62" s="40">
        <v>7.4219999999999997</v>
      </c>
      <c r="J62" s="40">
        <f>Data!$I62/15</f>
        <v>0.49479999999999996</v>
      </c>
      <c r="K62" s="39">
        <f>(Data!$H62+Data!$J62)/2</f>
        <v>0.59573333333333334</v>
      </c>
      <c r="L62" s="41">
        <v>440493.59607946913</v>
      </c>
      <c r="M62" s="42">
        <f>L62/VLOOKUP(C62, exchange_rates[], 2, FALSE)</f>
        <v>8503.7373760515275</v>
      </c>
      <c r="N62" s="39">
        <f>( LN( Data!$M62 ) - LN(100) ) / ( LN(75000) - LN(100) )</f>
        <v>0.67115433810788139</v>
      </c>
      <c r="O62" s="43">
        <f>POWER((Data!$F62*Data!$K62*Data!$N62), 1/3)</f>
        <v>0.67270728879078023</v>
      </c>
    </row>
    <row r="63" spans="2:15" x14ac:dyDescent="0.3">
      <c r="B63" s="38" t="s">
        <v>18</v>
      </c>
      <c r="C63" s="38">
        <v>2019</v>
      </c>
      <c r="D63" s="38" t="s">
        <v>15</v>
      </c>
      <c r="E63" s="38">
        <v>72.459999999999994</v>
      </c>
      <c r="F63" s="39">
        <f>(Data!$E63-20)/65</f>
        <v>0.80707692307692303</v>
      </c>
      <c r="G63" s="40">
        <v>12.92</v>
      </c>
      <c r="H63" s="40">
        <f>Data!$G63/18</f>
        <v>0.71777777777777774</v>
      </c>
      <c r="I63" s="40">
        <v>10.44</v>
      </c>
      <c r="J63" s="40">
        <f>Data!$I63/15</f>
        <v>0.69599999999999995</v>
      </c>
      <c r="K63" s="39">
        <f>(Data!$H63+Data!$J63)/2</f>
        <v>0.7068888888888889</v>
      </c>
      <c r="L63" s="41">
        <v>813133.99171543447</v>
      </c>
      <c r="M63" s="42">
        <f>L63/VLOOKUP(C63, exchange_rates[], 2, FALSE)</f>
        <v>15697.567407633871</v>
      </c>
      <c r="N63" s="39">
        <f>( LN( Data!$M63 ) - LN(100) ) / ( LN(75000) - LN(100) )</f>
        <v>0.76375150144367465</v>
      </c>
      <c r="O63" s="43">
        <f>POWER((Data!$F63*Data!$K63*Data!$N63), 1/3)</f>
        <v>0.75812250217700849</v>
      </c>
    </row>
    <row r="64" spans="2:15" x14ac:dyDescent="0.3">
      <c r="B64" s="38" t="s">
        <v>25</v>
      </c>
      <c r="C64" s="38">
        <v>2019</v>
      </c>
      <c r="D64" s="38" t="s">
        <v>15</v>
      </c>
      <c r="E64" s="38">
        <v>68.930000000000007</v>
      </c>
      <c r="F64" s="39">
        <f>(Data!$E64-20)/65</f>
        <v>0.75276923076923086</v>
      </c>
      <c r="G64" s="40">
        <v>12.24</v>
      </c>
      <c r="H64" s="40">
        <f>Data!$G64/18</f>
        <v>0.68</v>
      </c>
      <c r="I64" s="40">
        <v>8.048</v>
      </c>
      <c r="J64" s="40">
        <f>Data!$I64/15</f>
        <v>0.53653333333333331</v>
      </c>
      <c r="K64" s="39">
        <f>(Data!$H64+Data!$J64)/2</f>
        <v>0.60826666666666673</v>
      </c>
      <c r="L64" s="41">
        <v>464934.20800979831</v>
      </c>
      <c r="M64" s="42">
        <f>L64/VLOOKUP(C64, exchange_rates[], 2, FALSE)</f>
        <v>8975.563861193019</v>
      </c>
      <c r="N64" s="39">
        <f>( LN( Data!$M64 ) - LN(100) ) / ( LN(75000) - LN(100) )</f>
        <v>0.67931134760238854</v>
      </c>
      <c r="O64" s="43">
        <f>POWER((Data!$F64*Data!$K64*Data!$N64), 1/3)</f>
        <v>0.67755036255436951</v>
      </c>
    </row>
    <row r="65" spans="2:15" x14ac:dyDescent="0.3">
      <c r="B65" s="38" t="s">
        <v>26</v>
      </c>
      <c r="C65" s="38">
        <v>2019</v>
      </c>
      <c r="D65" s="38" t="s">
        <v>15</v>
      </c>
      <c r="E65" s="38">
        <v>68.41</v>
      </c>
      <c r="F65" s="39">
        <f>(Data!$E65-20)/65</f>
        <v>0.74476923076923074</v>
      </c>
      <c r="G65" s="40">
        <v>12.84</v>
      </c>
      <c r="H65" s="40">
        <f>Data!$G65/18</f>
        <v>0.71333333333333337</v>
      </c>
      <c r="I65" s="40">
        <v>8.4369999999999994</v>
      </c>
      <c r="J65" s="40">
        <f>Data!$I65/15</f>
        <v>0.56246666666666667</v>
      </c>
      <c r="K65" s="39">
        <f>(Data!$H65+Data!$J65)/2</f>
        <v>0.63790000000000002</v>
      </c>
      <c r="L65" s="41">
        <v>495167.41000718606</v>
      </c>
      <c r="M65" s="42">
        <f>L65/VLOOKUP(C65, exchange_rates[], 2, FALSE)</f>
        <v>9559.2164094051368</v>
      </c>
      <c r="N65" s="39">
        <f>( LN( Data!$M65 ) - LN(100) ) / ( LN(75000) - LN(100) )</f>
        <v>0.68882785867931329</v>
      </c>
      <c r="O65" s="43">
        <f>POWER((Data!$F65*Data!$K65*Data!$N65), 1/3)</f>
        <v>0.68912024760116919</v>
      </c>
    </row>
    <row r="66" spans="2:15" x14ac:dyDescent="0.3">
      <c r="B66" s="38" t="s">
        <v>27</v>
      </c>
      <c r="C66" s="38">
        <v>2019</v>
      </c>
      <c r="D66" s="38" t="s">
        <v>15</v>
      </c>
      <c r="E66" s="38">
        <v>69.62</v>
      </c>
      <c r="F66" s="39">
        <f>(Data!$E66-20)/65</f>
        <v>0.76338461538461544</v>
      </c>
      <c r="G66" s="40">
        <v>12.65</v>
      </c>
      <c r="H66" s="40">
        <f>Data!$G66/18</f>
        <v>0.70277777777777783</v>
      </c>
      <c r="I66" s="40">
        <v>8.0960000000000001</v>
      </c>
      <c r="J66" s="40">
        <f>Data!$I66/15</f>
        <v>0.53973333333333329</v>
      </c>
      <c r="K66" s="39">
        <f>(Data!$H66+Data!$J66)/2</f>
        <v>0.62125555555555556</v>
      </c>
      <c r="L66" s="41">
        <v>527894.21192308282</v>
      </c>
      <c r="M66" s="42">
        <f>L66/VLOOKUP(C66, exchange_rates[], 2, FALSE)</f>
        <v>10191.007952183067</v>
      </c>
      <c r="N66" s="39">
        <f>( LN( Data!$M66 ) - LN(100) ) / ( LN(75000) - LN(100) )</f>
        <v>0.698495425487618</v>
      </c>
      <c r="O66" s="43">
        <f>POWER((Data!$F66*Data!$K66*Data!$N66), 1/3)</f>
        <v>0.69192509967552251</v>
      </c>
    </row>
    <row r="67" spans="2:15" x14ac:dyDescent="0.3">
      <c r="B67" s="38" t="s">
        <v>28</v>
      </c>
      <c r="C67" s="38">
        <v>2019</v>
      </c>
      <c r="D67" s="38" t="s">
        <v>15</v>
      </c>
      <c r="E67" s="38">
        <v>69.37</v>
      </c>
      <c r="F67" s="39">
        <f>(Data!$E67-20)/65</f>
        <v>0.75953846153846161</v>
      </c>
      <c r="G67" s="40">
        <v>13.01</v>
      </c>
      <c r="H67" s="40">
        <f>Data!$G67/18</f>
        <v>0.72277777777777774</v>
      </c>
      <c r="I67" s="40">
        <v>7.766</v>
      </c>
      <c r="J67" s="40">
        <f>Data!$I67/15</f>
        <v>0.51773333333333338</v>
      </c>
      <c r="K67" s="39">
        <f>(Data!$H67+Data!$J67)/2</f>
        <v>0.62025555555555556</v>
      </c>
      <c r="L67" s="41">
        <v>492205.30076120328</v>
      </c>
      <c r="M67" s="42">
        <f>L67/VLOOKUP(C67, exchange_rates[], 2, FALSE)</f>
        <v>9502.0328332278623</v>
      </c>
      <c r="N67" s="39">
        <f>( LN( Data!$M67 ) - LN(100) ) / ( LN(75000) - LN(100) )</f>
        <v>0.68792152429103492</v>
      </c>
      <c r="O67" s="43">
        <f>POWER((Data!$F67*Data!$K67*Data!$N67), 1/3)</f>
        <v>0.68688881394484413</v>
      </c>
    </row>
    <row r="68" spans="2:15" x14ac:dyDescent="0.3">
      <c r="B68" s="38" t="s">
        <v>29</v>
      </c>
      <c r="C68" s="38">
        <v>2019</v>
      </c>
      <c r="D68" s="38" t="s">
        <v>15</v>
      </c>
      <c r="E68" s="38">
        <v>69.900000000000006</v>
      </c>
      <c r="F68" s="39">
        <f>(Data!$E68-20)/65</f>
        <v>0.76769230769230778</v>
      </c>
      <c r="G68" s="40">
        <v>12.6</v>
      </c>
      <c r="H68" s="40">
        <f>Data!$G68/18</f>
        <v>0.7</v>
      </c>
      <c r="I68" s="40">
        <v>8.2189999999999994</v>
      </c>
      <c r="J68" s="40">
        <f>Data!$I68/15</f>
        <v>0.54793333333333327</v>
      </c>
      <c r="K68" s="39">
        <f>(Data!$H68+Data!$J68)/2</f>
        <v>0.62396666666666656</v>
      </c>
      <c r="L68" s="41">
        <v>530010.01756097726</v>
      </c>
      <c r="M68" s="42">
        <f>L68/VLOOKUP(C68, exchange_rates[], 2, FALSE)</f>
        <v>10231.853620868287</v>
      </c>
      <c r="N68" s="39">
        <f>( LN( Data!$M68 ) - LN(100) ) / ( LN(75000) - LN(100) )</f>
        <v>0.69909964841313699</v>
      </c>
      <c r="O68" s="43">
        <f>POWER((Data!$F68*Data!$K68*Data!$N68), 1/3)</f>
        <v>0.69443119327567104</v>
      </c>
    </row>
    <row r="69" spans="2:15" x14ac:dyDescent="0.3">
      <c r="B69" s="38" t="s">
        <v>30</v>
      </c>
      <c r="C69" s="38">
        <v>2019</v>
      </c>
      <c r="D69" s="38" t="s">
        <v>15</v>
      </c>
      <c r="E69" s="38">
        <v>70.95</v>
      </c>
      <c r="F69" s="39">
        <f>(Data!$E69-20)/65</f>
        <v>0.78384615384615386</v>
      </c>
      <c r="G69" s="40">
        <v>13.12</v>
      </c>
      <c r="H69" s="40">
        <f>Data!$G69/18</f>
        <v>0.72888888888888881</v>
      </c>
      <c r="I69" s="40">
        <v>8.0619999999999994</v>
      </c>
      <c r="J69" s="40">
        <f>Data!$I69/15</f>
        <v>0.53746666666666665</v>
      </c>
      <c r="K69" s="39">
        <f>(Data!$H69+Data!$J69)/2</f>
        <v>0.63317777777777773</v>
      </c>
      <c r="L69" s="41">
        <v>476227.60772058112</v>
      </c>
      <c r="M69" s="42">
        <f>L69/VLOOKUP(C69, exchange_rates[], 2, FALSE)</f>
        <v>9193.5831606289794</v>
      </c>
      <c r="N69" s="39">
        <f>( LN( Data!$M69 ) - LN(100) ) / ( LN(75000) - LN(100) )</f>
        <v>0.68293668515550299</v>
      </c>
      <c r="O69" s="43">
        <f>POWER((Data!$F69*Data!$K69*Data!$N69), 1/3)</f>
        <v>0.69723467826215912</v>
      </c>
    </row>
    <row r="70" spans="2:15" x14ac:dyDescent="0.3">
      <c r="B70" s="38" t="s">
        <v>31</v>
      </c>
      <c r="C70" s="38">
        <v>2019</v>
      </c>
      <c r="D70" s="38" t="s">
        <v>15</v>
      </c>
      <c r="E70" s="38">
        <v>67.78</v>
      </c>
      <c r="F70" s="39">
        <f>(Data!$E70-20)/65</f>
        <v>0.73507692307692307</v>
      </c>
      <c r="G70" s="40">
        <v>12.32</v>
      </c>
      <c r="H70" s="40">
        <f>Data!$G70/18</f>
        <v>0.68444444444444441</v>
      </c>
      <c r="I70" s="40">
        <v>7.6890000000000001</v>
      </c>
      <c r="J70" s="40">
        <f>Data!$I70/15</f>
        <v>0.51260000000000006</v>
      </c>
      <c r="K70" s="39">
        <f>(Data!$H70+Data!$J70)/2</f>
        <v>0.59852222222222218</v>
      </c>
      <c r="L70" s="41">
        <v>439613.48928747082</v>
      </c>
      <c r="M70" s="42">
        <f>L70/VLOOKUP(C70, exchange_rates[], 2, FALSE)</f>
        <v>8486.7468974415224</v>
      </c>
      <c r="N70" s="39">
        <f>( LN( Data!$M70 ) - LN(100) ) / ( LN(75000) - LN(100) )</f>
        <v>0.67085222664512212</v>
      </c>
      <c r="O70" s="43">
        <f>POWER((Data!$F70*Data!$K70*Data!$N70), 1/3)</f>
        <v>0.665804375186551</v>
      </c>
    </row>
    <row r="71" spans="2:15" x14ac:dyDescent="0.3">
      <c r="B71" s="38" t="s">
        <v>32</v>
      </c>
      <c r="C71" s="38">
        <v>2019</v>
      </c>
      <c r="D71" s="38" t="s">
        <v>15</v>
      </c>
      <c r="E71" s="38">
        <v>70.52</v>
      </c>
      <c r="F71" s="39">
        <f>(Data!$E71-20)/65</f>
        <v>0.77723076923076917</v>
      </c>
      <c r="G71" s="40">
        <v>12.71</v>
      </c>
      <c r="H71" s="40">
        <f>Data!$G71/18</f>
        <v>0.70611111111111113</v>
      </c>
      <c r="I71" s="40">
        <v>7.9489999999999998</v>
      </c>
      <c r="J71" s="40">
        <f>Data!$I71/15</f>
        <v>0.52993333333333337</v>
      </c>
      <c r="K71" s="39">
        <f>(Data!$H71+Data!$J71)/2</f>
        <v>0.61802222222222225</v>
      </c>
      <c r="L71" s="41">
        <v>536945.12834013277</v>
      </c>
      <c r="M71" s="42">
        <f>L71/VLOOKUP(C71, exchange_rates[], 2, FALSE)</f>
        <v>10365.736068342332</v>
      </c>
      <c r="N71" s="39">
        <f>( LN( Data!$M71 ) - LN(100) ) / ( LN(75000) - LN(100) )</f>
        <v>0.70106337292107412</v>
      </c>
      <c r="O71" s="43">
        <f>POWER((Data!$F71*Data!$K71*Data!$N71), 1/3)</f>
        <v>0.69572421296686515</v>
      </c>
    </row>
    <row r="72" spans="2:15" x14ac:dyDescent="0.3">
      <c r="B72" s="38" t="s">
        <v>16</v>
      </c>
      <c r="C72" s="38">
        <v>2020</v>
      </c>
      <c r="D72" s="38" t="s">
        <v>14</v>
      </c>
      <c r="E72" s="38">
        <v>71.37</v>
      </c>
      <c r="F72" s="39">
        <f>(Data!$E72-20)/65</f>
        <v>0.79030769230769238</v>
      </c>
      <c r="G72" s="40">
        <v>12.25</v>
      </c>
      <c r="H72" s="40">
        <f>Data!$G72/18</f>
        <v>0.68055555555555558</v>
      </c>
      <c r="I72" s="40">
        <v>6.6769999999999996</v>
      </c>
      <c r="J72" s="40">
        <f>Data!$I72/15</f>
        <v>0.44513333333333333</v>
      </c>
      <c r="K72" s="39">
        <f>(Data!$H72+Data!$J72)/2</f>
        <v>0.56284444444444448</v>
      </c>
      <c r="L72" s="41">
        <v>163112.0107517151</v>
      </c>
      <c r="M72" s="42">
        <f>L72/VLOOKUP(C72, exchange_rates[], 2, FALSE)</f>
        <v>3286.5607646930303</v>
      </c>
      <c r="N72" s="39">
        <f>( LN( Data!$M72 ) - LN(100) ) / ( LN(75000) - LN(100) )</f>
        <v>0.52755107712108407</v>
      </c>
      <c r="O72" s="43">
        <f>POWER((Data!$F72*Data!$K72*Data!$N72), 1/3)</f>
        <v>0.61680758020955795</v>
      </c>
    </row>
    <row r="73" spans="2:15" x14ac:dyDescent="0.3">
      <c r="B73" s="38" t="s">
        <v>17</v>
      </c>
      <c r="C73" s="38">
        <v>2020</v>
      </c>
      <c r="D73" s="38" t="s">
        <v>14</v>
      </c>
      <c r="E73" s="38">
        <v>76.47</v>
      </c>
      <c r="F73" s="39">
        <f>(Data!$E73-20)/65</f>
        <v>0.86876923076923074</v>
      </c>
      <c r="G73" s="40">
        <v>13.94</v>
      </c>
      <c r="H73" s="40">
        <f>Data!$G73/18</f>
        <v>0.77444444444444438</v>
      </c>
      <c r="I73" s="40">
        <v>10.07</v>
      </c>
      <c r="J73" s="40">
        <f>Data!$I73/15</f>
        <v>0.67133333333333334</v>
      </c>
      <c r="K73" s="39">
        <f>(Data!$H73+Data!$J73)/2</f>
        <v>0.72288888888888891</v>
      </c>
      <c r="L73" s="41">
        <v>366294.31416924793</v>
      </c>
      <c r="M73" s="42">
        <f>L73/VLOOKUP(C73, exchange_rates[], 2, FALSE)</f>
        <v>7380.5019981714267</v>
      </c>
      <c r="N73" s="39">
        <f>( LN( Data!$M73 ) - LN(100) ) / ( LN(75000) - LN(100) )</f>
        <v>0.64975516380731024</v>
      </c>
      <c r="O73" s="43">
        <f>POWER((Data!$F73*Data!$K73*Data!$N73), 1/3)</f>
        <v>0.74172327419577122</v>
      </c>
    </row>
    <row r="74" spans="2:15" x14ac:dyDescent="0.3">
      <c r="B74" s="38" t="s">
        <v>19</v>
      </c>
      <c r="C74" s="38">
        <v>2020</v>
      </c>
      <c r="D74" s="38" t="s">
        <v>14</v>
      </c>
      <c r="E74" s="38">
        <v>72.010000000000005</v>
      </c>
      <c r="F74" s="39">
        <f>(Data!$E74-20)/65</f>
        <v>0.80015384615384622</v>
      </c>
      <c r="G74" s="40">
        <v>13.33</v>
      </c>
      <c r="H74" s="40">
        <f>Data!$G74/18</f>
        <v>0.74055555555555552</v>
      </c>
      <c r="I74" s="40">
        <v>9.6359999999999992</v>
      </c>
      <c r="J74" s="40">
        <f>Data!$I74/15</f>
        <v>0.64239999999999997</v>
      </c>
      <c r="K74" s="39">
        <f>(Data!$H74+Data!$J74)/2</f>
        <v>0.69147777777777775</v>
      </c>
      <c r="L74" s="41">
        <v>377072.37582222419</v>
      </c>
      <c r="M74" s="42">
        <f>L74/VLOOKUP(C74, exchange_rates[], 2, FALSE)</f>
        <v>7597.6702764905131</v>
      </c>
      <c r="N74" s="39">
        <f>( LN( Data!$M74 ) - LN(100) ) / ( LN(75000) - LN(100) )</f>
        <v>0.65413578001732331</v>
      </c>
      <c r="O74" s="43">
        <f>POWER((Data!$F74*Data!$K74*Data!$N74), 1/3)</f>
        <v>0.71264494659602795</v>
      </c>
    </row>
    <row r="75" spans="2:15" x14ac:dyDescent="0.3">
      <c r="B75" s="38" t="s">
        <v>20</v>
      </c>
      <c r="C75" s="38">
        <v>2020</v>
      </c>
      <c r="D75" s="38" t="s">
        <v>14</v>
      </c>
      <c r="E75" s="38">
        <v>75.72</v>
      </c>
      <c r="F75" s="39">
        <f>(Data!$E75-20)/65</f>
        <v>0.85723076923076924</v>
      </c>
      <c r="G75" s="40">
        <v>13.68</v>
      </c>
      <c r="H75" s="40">
        <f>Data!$G75/18</f>
        <v>0.76</v>
      </c>
      <c r="I75" s="40">
        <v>8.6829999999999998</v>
      </c>
      <c r="J75" s="40">
        <f>Data!$I75/15</f>
        <v>0.57886666666666664</v>
      </c>
      <c r="K75" s="39">
        <f>(Data!$H75+Data!$J75)/2</f>
        <v>0.66943333333333332</v>
      </c>
      <c r="L75" s="41">
        <v>328138.95019784325</v>
      </c>
      <c r="M75" s="42">
        <f>L75/VLOOKUP(C75, exchange_rates[], 2, FALSE)</f>
        <v>6611.7056255862026</v>
      </c>
      <c r="N75" s="39">
        <f>( LN( Data!$M75 ) - LN(100) ) / ( LN(75000) - LN(100) )</f>
        <v>0.63313903335553667</v>
      </c>
      <c r="O75" s="43">
        <f>POWER((Data!$F75*Data!$K75*Data!$N75), 1/3)</f>
        <v>0.7135669462316081</v>
      </c>
    </row>
    <row r="76" spans="2:15" x14ac:dyDescent="0.3">
      <c r="B76" s="38" t="s">
        <v>21</v>
      </c>
      <c r="C76" s="38">
        <v>2020</v>
      </c>
      <c r="D76" s="38" t="s">
        <v>14</v>
      </c>
      <c r="E76" s="38">
        <v>74.709999999999994</v>
      </c>
      <c r="F76" s="39">
        <f>(Data!$E76-20)/65</f>
        <v>0.84169230769230763</v>
      </c>
      <c r="G76" s="40">
        <v>13.04</v>
      </c>
      <c r="H76" s="40">
        <f>Data!$G76/18</f>
        <v>0.72444444444444445</v>
      </c>
      <c r="I76" s="40">
        <v>9.3539999999999992</v>
      </c>
      <c r="J76" s="40">
        <f>Data!$I76/15</f>
        <v>0.62359999999999993</v>
      </c>
      <c r="K76" s="39">
        <f>(Data!$H76+Data!$J76)/2</f>
        <v>0.67402222222222219</v>
      </c>
      <c r="L76" s="41">
        <v>416312.90263991914</v>
      </c>
      <c r="M76" s="42">
        <f>L76/VLOOKUP(C76, exchange_rates[], 2, FALSE)</f>
        <v>8388.33170743339</v>
      </c>
      <c r="N76" s="39">
        <f>( LN( Data!$M76 ) - LN(100) ) / ( LN(75000) - LN(100) )</f>
        <v>0.66909029742391968</v>
      </c>
      <c r="O76" s="43">
        <f>POWER((Data!$F76*Data!$K76*Data!$N76), 1/3)</f>
        <v>0.72405368557140026</v>
      </c>
    </row>
    <row r="77" spans="2:15" x14ac:dyDescent="0.3">
      <c r="B77" s="38" t="s">
        <v>22</v>
      </c>
      <c r="C77" s="38">
        <v>2020</v>
      </c>
      <c r="D77" s="38" t="s">
        <v>14</v>
      </c>
      <c r="E77" s="38">
        <v>74.180000000000007</v>
      </c>
      <c r="F77" s="39">
        <f>(Data!$E77-20)/65</f>
        <v>0.83353846153846167</v>
      </c>
      <c r="G77" s="40">
        <v>13.16</v>
      </c>
      <c r="H77" s="40">
        <f>Data!$G77/18</f>
        <v>0.73111111111111116</v>
      </c>
      <c r="I77" s="40">
        <v>9.7059999999999995</v>
      </c>
      <c r="J77" s="40">
        <f>Data!$I77/15</f>
        <v>0.64706666666666668</v>
      </c>
      <c r="K77" s="39">
        <f>(Data!$H77+Data!$J77)/2</f>
        <v>0.68908888888888886</v>
      </c>
      <c r="L77" s="41">
        <v>420076.63013226783</v>
      </c>
      <c r="M77" s="42">
        <f>L77/VLOOKUP(C77, exchange_rates[], 2, FALSE)</f>
        <v>8464.1674417140403</v>
      </c>
      <c r="N77" s="39">
        <f>( LN( Data!$M77 ) - LN(100) ) / ( LN(75000) - LN(100) )</f>
        <v>0.6704497990063375</v>
      </c>
      <c r="O77" s="43">
        <f>POWER((Data!$F77*Data!$K77*Data!$N77), 1/3)</f>
        <v>0.72753806177926794</v>
      </c>
    </row>
    <row r="78" spans="2:15" x14ac:dyDescent="0.3">
      <c r="B78" s="38" t="s">
        <v>23</v>
      </c>
      <c r="C78" s="38">
        <v>2020</v>
      </c>
      <c r="D78" s="38" t="s">
        <v>14</v>
      </c>
      <c r="E78" s="38">
        <v>73.19</v>
      </c>
      <c r="F78" s="39">
        <f>(Data!$E78-20)/65</f>
        <v>0.81830769230769229</v>
      </c>
      <c r="G78" s="40">
        <v>13.41</v>
      </c>
      <c r="H78" s="40">
        <f>Data!$G78/18</f>
        <v>0.745</v>
      </c>
      <c r="I78" s="40">
        <v>8.6489999999999991</v>
      </c>
      <c r="J78" s="40">
        <f>Data!$I78/15</f>
        <v>0.57659999999999989</v>
      </c>
      <c r="K78" s="39">
        <f>(Data!$H78+Data!$J78)/2</f>
        <v>0.66079999999999994</v>
      </c>
      <c r="L78" s="41">
        <v>281023.17727297224</v>
      </c>
      <c r="M78" s="42">
        <f>L78/VLOOKUP(C78, exchange_rates[], 2, FALSE)</f>
        <v>5662.3650468058077</v>
      </c>
      <c r="N78" s="39">
        <f>( LN( Data!$M78 ) - LN(100) ) / ( LN(75000) - LN(100) )</f>
        <v>0.60972539499167366</v>
      </c>
      <c r="O78" s="43">
        <f>POWER((Data!$F78*Data!$K78*Data!$N78), 1/3)</f>
        <v>0.69083391563426266</v>
      </c>
    </row>
    <row r="79" spans="2:15" x14ac:dyDescent="0.3">
      <c r="B79" s="38" t="s">
        <v>24</v>
      </c>
      <c r="C79" s="38">
        <v>2020</v>
      </c>
      <c r="D79" s="38" t="s">
        <v>14</v>
      </c>
      <c r="E79" s="38">
        <v>72.88</v>
      </c>
      <c r="F79" s="39">
        <f>(Data!$E79-20)/65</f>
        <v>0.81353846153846143</v>
      </c>
      <c r="G79" s="40">
        <v>13.28</v>
      </c>
      <c r="H79" s="40">
        <f>Data!$G79/18</f>
        <v>0.73777777777777775</v>
      </c>
      <c r="I79" s="40">
        <v>7.9450000000000003</v>
      </c>
      <c r="J79" s="40">
        <f>Data!$I79/15</f>
        <v>0.52966666666666673</v>
      </c>
      <c r="K79" s="39">
        <f>(Data!$H79+Data!$J79)/2</f>
        <v>0.6337222222222223</v>
      </c>
      <c r="L79" s="41">
        <v>266250.38081956032</v>
      </c>
      <c r="M79" s="42">
        <f>L79/VLOOKUP(C79, exchange_rates[], 2, FALSE)</f>
        <v>5364.7064440773784</v>
      </c>
      <c r="N79" s="39">
        <f>( LN( Data!$M79 ) - LN(100) ) / ( LN(75000) - LN(100) )</f>
        <v>0.60156838549716651</v>
      </c>
      <c r="O79" s="43">
        <f>POWER((Data!$F79*Data!$K79*Data!$N79), 1/3)</f>
        <v>0.67689401933737459</v>
      </c>
    </row>
    <row r="80" spans="2:15" x14ac:dyDescent="0.3">
      <c r="B80" s="38" t="s">
        <v>18</v>
      </c>
      <c r="C80" s="38">
        <v>2020</v>
      </c>
      <c r="D80" s="38" t="s">
        <v>14</v>
      </c>
      <c r="E80" s="38">
        <v>76.89</v>
      </c>
      <c r="F80" s="39">
        <f>(Data!$E80-20)/65</f>
        <v>0.87523076923076926</v>
      </c>
      <c r="G80" s="40">
        <v>13.31</v>
      </c>
      <c r="H80" s="40">
        <f>Data!$G80/18</f>
        <v>0.73944444444444446</v>
      </c>
      <c r="I80" s="40">
        <v>10.61</v>
      </c>
      <c r="J80" s="40">
        <f>Data!$I80/15</f>
        <v>0.70733333333333326</v>
      </c>
      <c r="K80" s="39">
        <f>(Data!$H80+Data!$J80)/2</f>
        <v>0.72338888888888886</v>
      </c>
      <c r="L80" s="41">
        <v>445606.88845787081</v>
      </c>
      <c r="M80" s="42">
        <f>L80/VLOOKUP(C80, exchange_rates[], 2, FALSE)</f>
        <v>8978.5792556492197</v>
      </c>
      <c r="N80" s="39">
        <f>( LN( Data!$M80 ) - LN(100) ) / ( LN(75000) - LN(100) )</f>
        <v>0.67936208715774327</v>
      </c>
      <c r="O80" s="43">
        <f>POWER((Data!$F80*Data!$K80*Data!$N80), 1/3)</f>
        <v>0.75485796028539731</v>
      </c>
    </row>
    <row r="81" spans="2:15" x14ac:dyDescent="0.3">
      <c r="B81" s="38" t="s">
        <v>25</v>
      </c>
      <c r="C81" s="38">
        <v>2020</v>
      </c>
      <c r="D81" s="38" t="s">
        <v>14</v>
      </c>
      <c r="E81" s="38">
        <v>72.959999999999994</v>
      </c>
      <c r="F81" s="39">
        <f>(Data!$E81-20)/65</f>
        <v>0.81476923076923069</v>
      </c>
      <c r="G81" s="40">
        <v>12.72</v>
      </c>
      <c r="H81" s="40">
        <f>Data!$G81/18</f>
        <v>0.70666666666666667</v>
      </c>
      <c r="I81" s="40">
        <v>8.64</v>
      </c>
      <c r="J81" s="40">
        <f>Data!$I81/15</f>
        <v>0.57600000000000007</v>
      </c>
      <c r="K81" s="39">
        <f>(Data!$H81+Data!$J81)/2</f>
        <v>0.64133333333333331</v>
      </c>
      <c r="L81" s="41">
        <v>283280.37946151156</v>
      </c>
      <c r="M81" s="42">
        <f>L81/VLOOKUP(C81, exchange_rates[], 2, FALSE)</f>
        <v>5707.8456470181654</v>
      </c>
      <c r="N81" s="39">
        <f>( LN( Data!$M81 ) - LN(100) ) / ( LN(75000) - LN(100) )</f>
        <v>0.61093384084271185</v>
      </c>
      <c r="O81" s="43">
        <f>POWER((Data!$F81*Data!$K81*Data!$N81), 1/3)</f>
        <v>0.68344599833432373</v>
      </c>
    </row>
    <row r="82" spans="2:15" x14ac:dyDescent="0.3">
      <c r="B82" s="38" t="s">
        <v>26</v>
      </c>
      <c r="C82" s="38">
        <v>2020</v>
      </c>
      <c r="D82" s="38" t="s">
        <v>14</v>
      </c>
      <c r="E82" s="38">
        <v>72.81</v>
      </c>
      <c r="F82" s="39">
        <f>(Data!$E82-20)/65</f>
        <v>0.81246153846153846</v>
      </c>
      <c r="G82" s="40">
        <v>13.44</v>
      </c>
      <c r="H82" s="40">
        <f>Data!$G82/18</f>
        <v>0.74666666666666659</v>
      </c>
      <c r="I82" s="40">
        <v>9.1080000000000005</v>
      </c>
      <c r="J82" s="40">
        <f>Data!$I82/15</f>
        <v>0.60720000000000007</v>
      </c>
      <c r="K82" s="39">
        <f>(Data!$H82+Data!$J82)/2</f>
        <v>0.67693333333333339</v>
      </c>
      <c r="L82" s="41">
        <v>300797.45983147062</v>
      </c>
      <c r="M82" s="42">
        <f>L82/VLOOKUP(C82, exchange_rates[], 2, FALSE)</f>
        <v>6060.7991100437357</v>
      </c>
      <c r="N82" s="39">
        <f>( LN( Data!$M82 ) - LN(100) ) / ( LN(75000) - LN(100) )</f>
        <v>0.61999718472549759</v>
      </c>
      <c r="O82" s="43">
        <f>POWER((Data!$F82*Data!$K82*Data!$N82), 1/3)</f>
        <v>0.69862824970934212</v>
      </c>
    </row>
    <row r="83" spans="2:15" x14ac:dyDescent="0.3">
      <c r="B83" s="38" t="s">
        <v>27</v>
      </c>
      <c r="C83" s="38">
        <v>2020</v>
      </c>
      <c r="D83" s="38" t="s">
        <v>14</v>
      </c>
      <c r="E83" s="38">
        <v>73.47</v>
      </c>
      <c r="F83" s="39">
        <f>(Data!$E83-20)/65</f>
        <v>0.82261538461538464</v>
      </c>
      <c r="G83" s="40">
        <v>13.24</v>
      </c>
      <c r="H83" s="40">
        <f>Data!$G83/18</f>
        <v>0.73555555555555552</v>
      </c>
      <c r="I83" s="40">
        <v>8.5909999999999993</v>
      </c>
      <c r="J83" s="40">
        <f>Data!$I83/15</f>
        <v>0.57273333333333332</v>
      </c>
      <c r="K83" s="39">
        <f>(Data!$H83+Data!$J83)/2</f>
        <v>0.65414444444444442</v>
      </c>
      <c r="L83" s="41">
        <v>308103.92575146828</v>
      </c>
      <c r="M83" s="42">
        <f>L83/VLOOKUP(C83, exchange_rates[], 2, FALSE)</f>
        <v>6208.0178470978899</v>
      </c>
      <c r="N83" s="39">
        <f>( LN( Data!$M83 ) - LN(100) ) / ( LN(75000) - LN(100) )</f>
        <v>0.6236225222786117</v>
      </c>
      <c r="O83" s="43">
        <f>POWER((Data!$F83*Data!$K83*Data!$N83), 1/3)</f>
        <v>0.69491351600593709</v>
      </c>
    </row>
    <row r="84" spans="2:15" x14ac:dyDescent="0.3">
      <c r="B84" s="38" t="s">
        <v>28</v>
      </c>
      <c r="C84" s="38">
        <v>2020</v>
      </c>
      <c r="D84" s="38" t="s">
        <v>14</v>
      </c>
      <c r="E84" s="38">
        <v>73.209999999999994</v>
      </c>
      <c r="F84" s="39">
        <f>(Data!$E84-20)/65</f>
        <v>0.81861538461538452</v>
      </c>
      <c r="G84" s="40">
        <v>13.75</v>
      </c>
      <c r="H84" s="40">
        <f>Data!$G84/18</f>
        <v>0.76388888888888884</v>
      </c>
      <c r="I84" s="40">
        <v>8.7620000000000005</v>
      </c>
      <c r="J84" s="40">
        <f>Data!$I84/15</f>
        <v>0.58413333333333339</v>
      </c>
      <c r="K84" s="39">
        <f>(Data!$H84+Data!$J84)/2</f>
        <v>0.67401111111111112</v>
      </c>
      <c r="L84" s="41">
        <v>294252.17780834466</v>
      </c>
      <c r="M84" s="42">
        <f>L84/VLOOKUP(C84, exchange_rates[], 2, FALSE)</f>
        <v>5928.9175460073475</v>
      </c>
      <c r="N84" s="39">
        <f>( LN( Data!$M84 ) - LN(100) ) / ( LN(75000) - LN(100) )</f>
        <v>0.61667395863514274</v>
      </c>
      <c r="O84" s="43">
        <f>POWER((Data!$F84*Data!$K84*Data!$N84), 1/3)</f>
        <v>0.69812660533492144</v>
      </c>
    </row>
    <row r="85" spans="2:15" x14ac:dyDescent="0.3">
      <c r="B85" s="38" t="s">
        <v>29</v>
      </c>
      <c r="C85" s="38">
        <v>2020</v>
      </c>
      <c r="D85" s="38" t="s">
        <v>14</v>
      </c>
      <c r="E85" s="38">
        <v>74.19</v>
      </c>
      <c r="F85" s="39">
        <f>(Data!$E85-20)/65</f>
        <v>0.83369230769230762</v>
      </c>
      <c r="G85" s="40">
        <v>13.41</v>
      </c>
      <c r="H85" s="40">
        <f>Data!$G85/18</f>
        <v>0.745</v>
      </c>
      <c r="I85" s="40">
        <v>9.0090000000000003</v>
      </c>
      <c r="J85" s="40">
        <f>Data!$I85/15</f>
        <v>0.60060000000000002</v>
      </c>
      <c r="K85" s="39">
        <f>(Data!$H85+Data!$J85)/2</f>
        <v>0.67280000000000006</v>
      </c>
      <c r="L85" s="41">
        <v>324549.20155973535</v>
      </c>
      <c r="M85" s="42">
        <f>L85/VLOOKUP(C85, exchange_rates[], 2, FALSE)</f>
        <v>6539.3754092229565</v>
      </c>
      <c r="N85" s="39">
        <f>( LN( Data!$M85 ) - LN(100) ) / ( LN(75000) - LN(100) )</f>
        <v>0.63147742031035914</v>
      </c>
      <c r="O85" s="43">
        <f>POWER((Data!$F85*Data!$K85*Data!$N85), 1/3)</f>
        <v>0.7075381598712106</v>
      </c>
    </row>
    <row r="86" spans="2:15" x14ac:dyDescent="0.3">
      <c r="B86" s="38" t="s">
        <v>30</v>
      </c>
      <c r="C86" s="38">
        <v>2020</v>
      </c>
      <c r="D86" s="38" t="s">
        <v>14</v>
      </c>
      <c r="E86" s="38">
        <v>75.430000000000007</v>
      </c>
      <c r="F86" s="39">
        <f>(Data!$E86-20)/65</f>
        <v>0.85276923076923083</v>
      </c>
      <c r="G86" s="40">
        <v>13.01</v>
      </c>
      <c r="H86" s="40">
        <f>Data!$G86/18</f>
        <v>0.72277777777777774</v>
      </c>
      <c r="I86" s="40">
        <v>8.8409999999999993</v>
      </c>
      <c r="J86" s="40">
        <f>Data!$I86/15</f>
        <v>0.58939999999999992</v>
      </c>
      <c r="K86" s="39">
        <f>(Data!$H86+Data!$J86)/2</f>
        <v>0.65608888888888883</v>
      </c>
      <c r="L86" s="41">
        <v>296912.40045404638</v>
      </c>
      <c r="M86" s="42">
        <f>L86/VLOOKUP(C86, exchange_rates[], 2, FALSE)</f>
        <v>5982.5186470692397</v>
      </c>
      <c r="N86" s="39">
        <f>( LN( Data!$M86 ) - LN(100) ) / ( LN(75000) - LN(100) )</f>
        <v>0.61803346021756045</v>
      </c>
      <c r="O86" s="43">
        <f>POWER((Data!$F86*Data!$K86*Data!$N86), 1/3)</f>
        <v>0.70188947653140088</v>
      </c>
    </row>
    <row r="87" spans="2:15" x14ac:dyDescent="0.3">
      <c r="B87" s="38" t="s">
        <v>31</v>
      </c>
      <c r="C87" s="38">
        <v>2020</v>
      </c>
      <c r="D87" s="38" t="s">
        <v>14</v>
      </c>
      <c r="E87" s="38">
        <v>71.77</v>
      </c>
      <c r="F87" s="39">
        <f>(Data!$E87-20)/65</f>
        <v>0.79646153846153844</v>
      </c>
      <c r="G87" s="40">
        <v>13.1</v>
      </c>
      <c r="H87" s="40">
        <f>Data!$G87/18</f>
        <v>0.72777777777777775</v>
      </c>
      <c r="I87" s="40">
        <v>8.3949999999999996</v>
      </c>
      <c r="J87" s="40">
        <f>Data!$I87/15</f>
        <v>0.55966666666666665</v>
      </c>
      <c r="K87" s="39">
        <f>(Data!$H87+Data!$J87)/2</f>
        <v>0.6437222222222222</v>
      </c>
      <c r="L87" s="41">
        <v>270274.24002884625</v>
      </c>
      <c r="M87" s="42">
        <f>L87/VLOOKUP(C87, exchange_rates[], 2, FALSE)</f>
        <v>5445.7835992110868</v>
      </c>
      <c r="N87" s="39">
        <f>( LN( Data!$M87 ) - LN(100) ) / ( LN(75000) - LN(100) )</f>
        <v>0.60383422146786303</v>
      </c>
      <c r="O87" s="43">
        <f>POWER((Data!$F87*Data!$K87*Data!$N87), 1/3)</f>
        <v>0.6764883847665204</v>
      </c>
    </row>
    <row r="88" spans="2:15" x14ac:dyDescent="0.3">
      <c r="B88" s="38" t="s">
        <v>32</v>
      </c>
      <c r="C88" s="38">
        <v>2020</v>
      </c>
      <c r="D88" s="38" t="s">
        <v>14</v>
      </c>
      <c r="E88" s="38">
        <v>74.98</v>
      </c>
      <c r="F88" s="39">
        <f>(Data!$E88-20)/65</f>
        <v>0.84584615384615391</v>
      </c>
      <c r="G88" s="40">
        <v>13.39</v>
      </c>
      <c r="H88" s="40">
        <f>Data!$G88/18</f>
        <v>0.74388888888888893</v>
      </c>
      <c r="I88" s="40">
        <v>8.9469999999999992</v>
      </c>
      <c r="J88" s="40">
        <f>Data!$I88/15</f>
        <v>0.59646666666666659</v>
      </c>
      <c r="K88" s="39">
        <f>(Data!$H88+Data!$J88)/2</f>
        <v>0.67017777777777776</v>
      </c>
      <c r="L88" s="41">
        <v>318440.97860279295</v>
      </c>
      <c r="M88" s="42">
        <f>L88/VLOOKUP(C88, exchange_rates[], 2, FALSE)</f>
        <v>6416.3001934876675</v>
      </c>
      <c r="N88" s="39">
        <f>( LN( Data!$M88 ) - LN(100) ) / ( LN(75000) - LN(100) )</f>
        <v>0.62860736141414364</v>
      </c>
      <c r="O88" s="43">
        <f>POWER((Data!$F88*Data!$K88*Data!$N88), 1/3)</f>
        <v>0.70895764193886035</v>
      </c>
    </row>
    <row r="89" spans="2:15" x14ac:dyDescent="0.3">
      <c r="B89" s="38" t="s">
        <v>16</v>
      </c>
      <c r="C89" s="38">
        <v>2020</v>
      </c>
      <c r="D89" s="38" t="s">
        <v>15</v>
      </c>
      <c r="E89" s="38">
        <v>68.11</v>
      </c>
      <c r="F89" s="39">
        <f>(Data!$E89-20)/65</f>
        <v>0.74015384615384616</v>
      </c>
      <c r="G89" s="40">
        <v>10.93</v>
      </c>
      <c r="H89" s="40">
        <f>Data!$G89/18</f>
        <v>0.60722222222222222</v>
      </c>
      <c r="I89" s="40">
        <v>6.1050000000000004</v>
      </c>
      <c r="J89" s="40">
        <f>Data!$I89/15</f>
        <v>0.40700000000000003</v>
      </c>
      <c r="K89" s="39">
        <f>(Data!$H89+Data!$J89)/2</f>
        <v>0.50711111111111107</v>
      </c>
      <c r="L89" s="41">
        <v>224177.27549825184</v>
      </c>
      <c r="M89" s="42">
        <f>L89/VLOOKUP(C89, exchange_rates[], 2, FALSE)</f>
        <v>4516.9710960759985</v>
      </c>
      <c r="N89" s="39">
        <f>( LN( Data!$M89 ) - LN(100) ) / ( LN(75000) - LN(100) )</f>
        <v>0.57558679969984783</v>
      </c>
      <c r="O89" s="43">
        <f>POWER((Data!$F89*Data!$K89*Data!$N89), 1/3)</f>
        <v>0.60003785608056093</v>
      </c>
    </row>
    <row r="90" spans="2:15" x14ac:dyDescent="0.3">
      <c r="B90" s="38" t="s">
        <v>17</v>
      </c>
      <c r="C90" s="38">
        <v>2020</v>
      </c>
      <c r="D90" s="38" t="s">
        <v>15</v>
      </c>
      <c r="E90" s="38">
        <v>72.239999999999995</v>
      </c>
      <c r="F90" s="39">
        <f>(Data!$E90-20)/65</f>
        <v>0.80369230769230759</v>
      </c>
      <c r="G90" s="40">
        <v>12.92</v>
      </c>
      <c r="H90" s="40">
        <f>Data!$G90/18</f>
        <v>0.71777777777777774</v>
      </c>
      <c r="I90" s="40">
        <v>9.1449999999999996</v>
      </c>
      <c r="J90" s="40">
        <f>Data!$I90/15</f>
        <v>0.60966666666666669</v>
      </c>
      <c r="K90" s="39">
        <f>(Data!$H90+Data!$J90)/2</f>
        <v>0.66372222222222221</v>
      </c>
      <c r="L90" s="41">
        <v>519796.37447180285</v>
      </c>
      <c r="M90" s="42">
        <f>L90/VLOOKUP(C90, exchange_rates[], 2, FALSE)</f>
        <v>10473.430877932758</v>
      </c>
      <c r="N90" s="39">
        <f>( LN( Data!$M90 ) - LN(100) ) / ( LN(75000) - LN(100) )</f>
        <v>0.70262466979022642</v>
      </c>
      <c r="O90" s="43">
        <f>POWER((Data!$F90*Data!$K90*Data!$N90), 1/3)</f>
        <v>0.72099655254124806</v>
      </c>
    </row>
    <row r="91" spans="2:15" x14ac:dyDescent="0.3">
      <c r="B91" s="38" t="s">
        <v>19</v>
      </c>
      <c r="C91" s="38">
        <v>2020</v>
      </c>
      <c r="D91" s="38" t="s">
        <v>15</v>
      </c>
      <c r="E91" s="38">
        <v>68.64</v>
      </c>
      <c r="F91" s="39">
        <f>(Data!$E91-20)/65</f>
        <v>0.74830769230769234</v>
      </c>
      <c r="G91" s="40">
        <v>12.48</v>
      </c>
      <c r="H91" s="40">
        <f>Data!$G91/18</f>
        <v>0.69333333333333336</v>
      </c>
      <c r="I91" s="40">
        <v>8.9860000000000007</v>
      </c>
      <c r="J91" s="40">
        <f>Data!$I91/15</f>
        <v>0.59906666666666675</v>
      </c>
      <c r="K91" s="39">
        <f>(Data!$H91+Data!$J91)/2</f>
        <v>0.64620000000000011</v>
      </c>
      <c r="L91" s="41">
        <v>535626.53080706997</v>
      </c>
      <c r="M91" s="42">
        <f>L91/VLOOKUP(C91, exchange_rates[], 2, FALSE)</f>
        <v>10792.394334214587</v>
      </c>
      <c r="N91" s="39">
        <f>( LN( Data!$M91 ) - LN(100) ) / ( LN(75000) - LN(100) )</f>
        <v>0.70715634173161945</v>
      </c>
      <c r="O91" s="43">
        <f>POWER((Data!$F91*Data!$K91*Data!$N91), 1/3)</f>
        <v>0.69928498186541721</v>
      </c>
    </row>
    <row r="92" spans="2:15" x14ac:dyDescent="0.3">
      <c r="B92" s="38" t="s">
        <v>20</v>
      </c>
      <c r="C92" s="38">
        <v>2020</v>
      </c>
      <c r="D92" s="38" t="s">
        <v>15</v>
      </c>
      <c r="E92" s="38">
        <v>71.63</v>
      </c>
      <c r="F92" s="39">
        <f>(Data!$E92-20)/65</f>
        <v>0.79430769230769227</v>
      </c>
      <c r="G92" s="40">
        <v>12.53</v>
      </c>
      <c r="H92" s="40">
        <f>Data!$G92/18</f>
        <v>0.69611111111111112</v>
      </c>
      <c r="I92" s="40">
        <v>8.0640000000000001</v>
      </c>
      <c r="J92" s="40">
        <f>Data!$I92/15</f>
        <v>0.53759999999999997</v>
      </c>
      <c r="K92" s="39">
        <f>(Data!$H92+Data!$J92)/2</f>
        <v>0.61685555555555549</v>
      </c>
      <c r="L92" s="41">
        <v>463328.88992968207</v>
      </c>
      <c r="M92" s="42">
        <f>L92/VLOOKUP(C92, exchange_rates[], 2, FALSE)</f>
        <v>9335.66169513766</v>
      </c>
      <c r="N92" s="39">
        <f>( LN( Data!$M92 ) - LN(100) ) / ( LN(75000) - LN(100) )</f>
        <v>0.6852532606815539</v>
      </c>
      <c r="O92" s="43">
        <f>POWER((Data!$F92*Data!$K92*Data!$N92), 1/3)</f>
        <v>0.69503677890112237</v>
      </c>
    </row>
    <row r="93" spans="2:15" x14ac:dyDescent="0.3">
      <c r="B93" s="38" t="s">
        <v>21</v>
      </c>
      <c r="C93" s="38">
        <v>2020</v>
      </c>
      <c r="D93" s="38" t="s">
        <v>15</v>
      </c>
      <c r="E93" s="38">
        <v>70.819999999999993</v>
      </c>
      <c r="F93" s="39">
        <f>(Data!$E93-20)/65</f>
        <v>0.78184615384615375</v>
      </c>
      <c r="G93" s="40">
        <v>12.3</v>
      </c>
      <c r="H93" s="40">
        <f>Data!$G93/18</f>
        <v>0.68333333333333335</v>
      </c>
      <c r="I93" s="40">
        <v>9.0370000000000008</v>
      </c>
      <c r="J93" s="40">
        <f>Data!$I93/15</f>
        <v>0.60246666666666671</v>
      </c>
      <c r="K93" s="39">
        <f>(Data!$H93+Data!$J93)/2</f>
        <v>0.64290000000000003</v>
      </c>
      <c r="L93" s="41">
        <v>593737.40787282225</v>
      </c>
      <c r="M93" s="42">
        <f>L93/VLOOKUP(C93, exchange_rates[], 2, FALSE)</f>
        <v>11963.276402837442</v>
      </c>
      <c r="N93" s="39">
        <f>( LN( Data!$M93 ) - LN(100) ) / ( LN(75000) - LN(100) )</f>
        <v>0.72271508206373469</v>
      </c>
      <c r="O93" s="43">
        <f>POWER((Data!$F93*Data!$K93*Data!$N93), 1/3)</f>
        <v>0.71352733577851857</v>
      </c>
    </row>
    <row r="94" spans="2:15" x14ac:dyDescent="0.3">
      <c r="B94" s="38" t="s">
        <v>22</v>
      </c>
      <c r="C94" s="38">
        <v>2020</v>
      </c>
      <c r="D94" s="38" t="s">
        <v>15</v>
      </c>
      <c r="E94" s="38">
        <v>70.39</v>
      </c>
      <c r="F94" s="39">
        <f>(Data!$E94-20)/65</f>
        <v>0.77523076923076928</v>
      </c>
      <c r="G94" s="40">
        <v>12.38</v>
      </c>
      <c r="H94" s="40">
        <f>Data!$G94/18</f>
        <v>0.68777777777777782</v>
      </c>
      <c r="I94" s="40">
        <v>9.3580000000000005</v>
      </c>
      <c r="J94" s="40">
        <f>Data!$I94/15</f>
        <v>0.62386666666666668</v>
      </c>
      <c r="K94" s="39">
        <f>(Data!$H94+Data!$J94)/2</f>
        <v>0.65582222222222231</v>
      </c>
      <c r="L94" s="41">
        <v>599105.16321039631</v>
      </c>
      <c r="M94" s="42">
        <f>L94/VLOOKUP(C94, exchange_rates[], 2, FALSE)</f>
        <v>12071.431859971715</v>
      </c>
      <c r="N94" s="39">
        <f>( LN( Data!$M94 ) - LN(100) ) / ( LN(75000) - LN(100) )</f>
        <v>0.7240745836461524</v>
      </c>
      <c r="O94" s="43">
        <f>POWER((Data!$F94*Data!$K94*Data!$N94), 1/3)</f>
        <v>0.71669351997462161</v>
      </c>
    </row>
    <row r="95" spans="2:15" x14ac:dyDescent="0.3">
      <c r="B95" s="38" t="s">
        <v>23</v>
      </c>
      <c r="C95" s="38">
        <v>2020</v>
      </c>
      <c r="D95" s="38" t="s">
        <v>15</v>
      </c>
      <c r="E95" s="38">
        <v>69.59</v>
      </c>
      <c r="F95" s="39">
        <f>(Data!$E95-20)/65</f>
        <v>0.76292307692307693</v>
      </c>
      <c r="G95" s="40">
        <v>12.58</v>
      </c>
      <c r="H95" s="40">
        <f>Data!$G95/18</f>
        <v>0.69888888888888889</v>
      </c>
      <c r="I95" s="40">
        <v>7.8310000000000004</v>
      </c>
      <c r="J95" s="40">
        <f>Data!$I95/15</f>
        <v>0.52206666666666668</v>
      </c>
      <c r="K95" s="39">
        <f>(Data!$H95+Data!$J95)/2</f>
        <v>0.61047777777777779</v>
      </c>
      <c r="L95" s="41">
        <v>394428.21031201654</v>
      </c>
      <c r="M95" s="42">
        <f>L95/VLOOKUP(C95, exchange_rates[], 2, FALSE)</f>
        <v>7947.3747796094403</v>
      </c>
      <c r="N95" s="39">
        <f>( LN( Data!$M95 ) - LN(100) ) / ( LN(75000) - LN(100) )</f>
        <v>0.66093328792941253</v>
      </c>
      <c r="O95" s="43">
        <f>POWER((Data!$F95*Data!$K95*Data!$N95), 1/3)</f>
        <v>0.67520566751209854</v>
      </c>
    </row>
    <row r="96" spans="2:15" x14ac:dyDescent="0.3">
      <c r="B96" s="38" t="s">
        <v>24</v>
      </c>
      <c r="C96" s="38">
        <v>2020</v>
      </c>
      <c r="D96" s="38" t="s">
        <v>15</v>
      </c>
      <c r="E96" s="38">
        <v>69.34</v>
      </c>
      <c r="F96" s="39">
        <f>(Data!$E96-20)/65</f>
        <v>0.75907692307692309</v>
      </c>
      <c r="G96" s="40">
        <v>12.4</v>
      </c>
      <c r="H96" s="40">
        <f>Data!$G96/18</f>
        <v>0.68888888888888888</v>
      </c>
      <c r="I96" s="40">
        <v>7.3419999999999996</v>
      </c>
      <c r="J96" s="40">
        <f>Data!$I96/15</f>
        <v>0.48946666666666666</v>
      </c>
      <c r="K96" s="39">
        <f>(Data!$H96+Data!$J96)/2</f>
        <v>0.5891777777777778</v>
      </c>
      <c r="L96" s="41">
        <v>372947.30914921989</v>
      </c>
      <c r="M96" s="42">
        <f>L96/VLOOKUP(C96, exchange_rates[], 2, FALSE)</f>
        <v>7514.5538817090446</v>
      </c>
      <c r="N96" s="39">
        <f>( LN( Data!$M96 ) - LN(100) ) / ( LN(75000) - LN(100) )</f>
        <v>0.65247416697214611</v>
      </c>
      <c r="O96" s="43">
        <f>POWER((Data!$F96*Data!$K96*Data!$N96), 1/3)</f>
        <v>0.66328242413434879</v>
      </c>
    </row>
    <row r="97" spans="2:15" x14ac:dyDescent="0.3">
      <c r="B97" s="38" t="s">
        <v>18</v>
      </c>
      <c r="C97" s="38">
        <v>2020</v>
      </c>
      <c r="D97" s="38" t="s">
        <v>15</v>
      </c>
      <c r="E97" s="38">
        <v>72.569999999999993</v>
      </c>
      <c r="F97" s="39">
        <f>(Data!$E97-20)/65</f>
        <v>0.80876923076923068</v>
      </c>
      <c r="G97" s="40">
        <v>12.56</v>
      </c>
      <c r="H97" s="40">
        <f>Data!$G97/18</f>
        <v>0.69777777777777783</v>
      </c>
      <c r="I97" s="40">
        <v>10.32</v>
      </c>
      <c r="J97" s="40">
        <f>Data!$I97/15</f>
        <v>0.68800000000000006</v>
      </c>
      <c r="K97" s="39">
        <f>(Data!$H97+Data!$J97)/2</f>
        <v>0.69288888888888889</v>
      </c>
      <c r="L97" s="41">
        <v>636788.22746027366</v>
      </c>
      <c r="M97" s="42">
        <f>L97/VLOOKUP(C97, exchange_rates[], 2, FALSE)</f>
        <v>12830.711816648673</v>
      </c>
      <c r="N97" s="39">
        <f>( LN( Data!$M97 ) - LN(100) ) / ( LN(75000) - LN(100) )</f>
        <v>0.73328898326031799</v>
      </c>
      <c r="O97" s="43">
        <f>POWER((Data!$F97*Data!$K97*Data!$N97), 1/3)</f>
        <v>0.74345461084331532</v>
      </c>
    </row>
    <row r="98" spans="2:15" x14ac:dyDescent="0.3">
      <c r="B98" s="38" t="s">
        <v>25</v>
      </c>
      <c r="C98" s="38">
        <v>2020</v>
      </c>
      <c r="D98" s="38" t="s">
        <v>15</v>
      </c>
      <c r="E98" s="38">
        <v>69.400000000000006</v>
      </c>
      <c r="F98" s="39">
        <f>(Data!$E98-20)/65</f>
        <v>0.76000000000000012</v>
      </c>
      <c r="G98" s="40">
        <v>11.73</v>
      </c>
      <c r="H98" s="40">
        <f>Data!$G98/18</f>
        <v>0.65166666666666673</v>
      </c>
      <c r="I98" s="40">
        <v>7.9779999999999998</v>
      </c>
      <c r="J98" s="40">
        <f>Data!$I98/15</f>
        <v>0.5318666666666666</v>
      </c>
      <c r="K98" s="39">
        <f>(Data!$H98+Data!$J98)/2</f>
        <v>0.59176666666666666</v>
      </c>
      <c r="L98" s="41">
        <v>397994.0865783912</v>
      </c>
      <c r="M98" s="42">
        <f>L98/VLOOKUP(C98, exchange_rates[], 2, FALSE)</f>
        <v>8019.2239890870678</v>
      </c>
      <c r="N98" s="39">
        <f>( LN( Data!$M98 ) - LN(100) ) / ( LN(75000) - LN(100) )</f>
        <v>0.66229278951183046</v>
      </c>
      <c r="O98" s="43">
        <f>POWER((Data!$F98*Data!$K98*Data!$N98), 1/3)</f>
        <v>0.66783837782925082</v>
      </c>
    </row>
    <row r="99" spans="2:15" x14ac:dyDescent="0.3">
      <c r="B99" s="38" t="s">
        <v>26</v>
      </c>
      <c r="C99" s="38">
        <v>2020</v>
      </c>
      <c r="D99" s="38" t="s">
        <v>15</v>
      </c>
      <c r="E99" s="38">
        <v>69.28</v>
      </c>
      <c r="F99" s="39">
        <f>(Data!$E99-20)/65</f>
        <v>0.75815384615384618</v>
      </c>
      <c r="G99" s="40">
        <v>12.71</v>
      </c>
      <c r="H99" s="40">
        <f>Data!$G99/18</f>
        <v>0.70611111111111113</v>
      </c>
      <c r="I99" s="40">
        <v>8.58</v>
      </c>
      <c r="J99" s="40">
        <f>Data!$I99/15</f>
        <v>0.57199999999999995</v>
      </c>
      <c r="K99" s="39">
        <f>(Data!$H99+Data!$J99)/2</f>
        <v>0.63905555555555549</v>
      </c>
      <c r="L99" s="41">
        <v>423450.72154383687</v>
      </c>
      <c r="M99" s="42">
        <f>L99/VLOOKUP(C99, exchange_rates[], 2, FALSE)</f>
        <v>8532.152358328367</v>
      </c>
      <c r="N99" s="39">
        <f>( LN( Data!$M99 ) - LN(100) ) / ( LN(75000) - LN(100) )</f>
        <v>0.67165824485737546</v>
      </c>
      <c r="O99" s="43">
        <f>POWER((Data!$F99*Data!$K99*Data!$N99), 1/3)</f>
        <v>0.68783050994337891</v>
      </c>
    </row>
    <row r="100" spans="2:15" x14ac:dyDescent="0.3">
      <c r="B100" s="38" t="s">
        <v>27</v>
      </c>
      <c r="C100" s="38">
        <v>2020</v>
      </c>
      <c r="D100" s="38" t="s">
        <v>15</v>
      </c>
      <c r="E100" s="38">
        <v>69.819999999999993</v>
      </c>
      <c r="F100" s="39">
        <f>(Data!$E100-20)/65</f>
        <v>0.76646153846153831</v>
      </c>
      <c r="G100" s="40">
        <v>12.47</v>
      </c>
      <c r="H100" s="40">
        <f>Data!$G100/18</f>
        <v>0.69277777777777783</v>
      </c>
      <c r="I100" s="40">
        <v>8.1150000000000002</v>
      </c>
      <c r="J100" s="40">
        <f>Data!$I100/15</f>
        <v>0.54100000000000004</v>
      </c>
      <c r="K100" s="39">
        <f>(Data!$H100+Data!$J100)/2</f>
        <v>0.61688888888888893</v>
      </c>
      <c r="L100" s="41">
        <v>434170.42759587563</v>
      </c>
      <c r="M100" s="42">
        <f>L100/VLOOKUP(C100, exchange_rates[], 2, FALSE)</f>
        <v>8748.1448236122433</v>
      </c>
      <c r="N100" s="39">
        <f>( LN( Data!$M100 ) - LN(100) ) / ( LN(75000) - LN(100) )</f>
        <v>0.67543463814186955</v>
      </c>
      <c r="O100" s="43">
        <f>POWER((Data!$F100*Data!$K100*Data!$N100), 1/3)</f>
        <v>0.68353414561706161</v>
      </c>
    </row>
    <row r="101" spans="2:15" x14ac:dyDescent="0.3">
      <c r="B101" s="38" t="s">
        <v>28</v>
      </c>
      <c r="C101" s="38">
        <v>2020</v>
      </c>
      <c r="D101" s="38" t="s">
        <v>15</v>
      </c>
      <c r="E101" s="38">
        <v>69.61</v>
      </c>
      <c r="F101" s="39">
        <f>(Data!$E101-20)/65</f>
        <v>0.76323076923076927</v>
      </c>
      <c r="G101" s="40">
        <v>12.69</v>
      </c>
      <c r="H101" s="40">
        <f>Data!$G101/18</f>
        <v>0.70499999999999996</v>
      </c>
      <c r="I101" s="40">
        <v>7.8470000000000004</v>
      </c>
      <c r="J101" s="40">
        <f>Data!$I101/15</f>
        <v>0.52313333333333334</v>
      </c>
      <c r="K101" s="39">
        <f>(Data!$H101+Data!$J101)/2</f>
        <v>0.61406666666666665</v>
      </c>
      <c r="L101" s="41">
        <v>413822.50389151654</v>
      </c>
      <c r="M101" s="42">
        <f>L101/VLOOKUP(C101, exchange_rates[], 2, FALSE)</f>
        <v>8338.1524056320068</v>
      </c>
      <c r="N101" s="39">
        <f>( LN( Data!$M101 ) - LN(100) ) / ( LN(75000) - LN(100) )</f>
        <v>0.66818396303564109</v>
      </c>
      <c r="O101" s="43">
        <f>POWER((Data!$F101*Data!$K101*Data!$N101), 1/3)</f>
        <v>0.6790824088927272</v>
      </c>
    </row>
    <row r="102" spans="2:15" x14ac:dyDescent="0.3">
      <c r="B102" s="38" t="s">
        <v>29</v>
      </c>
      <c r="C102" s="38">
        <v>2020</v>
      </c>
      <c r="D102" s="38" t="s">
        <v>15</v>
      </c>
      <c r="E102" s="38">
        <v>70.400000000000006</v>
      </c>
      <c r="F102" s="39">
        <f>(Data!$E102-20)/65</f>
        <v>0.77538461538461545</v>
      </c>
      <c r="G102" s="40">
        <v>12.41</v>
      </c>
      <c r="H102" s="40">
        <f>Data!$G102/18</f>
        <v>0.68944444444444442</v>
      </c>
      <c r="I102" s="40">
        <v>8.1929999999999996</v>
      </c>
      <c r="J102" s="40">
        <f>Data!$I102/15</f>
        <v>0.54620000000000002</v>
      </c>
      <c r="K102" s="39">
        <f>(Data!$H102+Data!$J102)/2</f>
        <v>0.61782222222222227</v>
      </c>
      <c r="L102" s="41">
        <v>458260.20103853394</v>
      </c>
      <c r="M102" s="42">
        <f>L102/VLOOKUP(C102, exchange_rates[], 2, FALSE)</f>
        <v>9233.5321587453946</v>
      </c>
      <c r="N102" s="39">
        <f>( LN( Data!$M102 ) - LN(100) ) / ( LN(75000) - LN(100) )</f>
        <v>0.6835916476363767</v>
      </c>
      <c r="O102" s="43">
        <f>POWER((Data!$F102*Data!$K102*Data!$N102), 1/3)</f>
        <v>0.68927493227361558</v>
      </c>
    </row>
    <row r="103" spans="2:15" x14ac:dyDescent="0.3">
      <c r="B103" s="38" t="s">
        <v>30</v>
      </c>
      <c r="C103" s="38">
        <v>2020</v>
      </c>
      <c r="D103" s="38" t="s">
        <v>15</v>
      </c>
      <c r="E103" s="38">
        <v>71.400000000000006</v>
      </c>
      <c r="F103" s="39">
        <f>(Data!$E103-20)/65</f>
        <v>0.79076923076923089</v>
      </c>
      <c r="G103" s="40">
        <v>12.64</v>
      </c>
      <c r="H103" s="40">
        <f>Data!$G103/18</f>
        <v>0.7022222222222223</v>
      </c>
      <c r="I103" s="40">
        <v>8.0950000000000006</v>
      </c>
      <c r="J103" s="40">
        <f>Data!$I103/15</f>
        <v>0.53966666666666674</v>
      </c>
      <c r="K103" s="39">
        <f>(Data!$H103+Data!$J103)/2</f>
        <v>0.62094444444444452</v>
      </c>
      <c r="L103" s="41">
        <v>417563.71663071477</v>
      </c>
      <c r="M103" s="42">
        <f>L103/VLOOKUP(C103, exchange_rates[], 2, FALSE)</f>
        <v>8413.534487824194</v>
      </c>
      <c r="N103" s="39">
        <f>( LN( Data!$M103 ) - LN(100) ) / ( LN(75000) - LN(100) )</f>
        <v>0.66954346461805891</v>
      </c>
      <c r="O103" s="43">
        <f>POWER((Data!$F103*Data!$K103*Data!$N103), 1/3)</f>
        <v>0.69017691321501473</v>
      </c>
    </row>
    <row r="104" spans="2:15" x14ac:dyDescent="0.3">
      <c r="B104" s="38" t="s">
        <v>31</v>
      </c>
      <c r="C104" s="38">
        <v>2020</v>
      </c>
      <c r="D104" s="38" t="s">
        <v>15</v>
      </c>
      <c r="E104" s="38">
        <v>68.430000000000007</v>
      </c>
      <c r="F104" s="39">
        <f>(Data!$E104-20)/65</f>
        <v>0.74507692307692319</v>
      </c>
      <c r="G104" s="40">
        <v>12.08</v>
      </c>
      <c r="H104" s="40">
        <f>Data!$G104/18</f>
        <v>0.6711111111111111</v>
      </c>
      <c r="I104" s="40">
        <v>7.6970000000000001</v>
      </c>
      <c r="J104" s="40">
        <f>Data!$I104/15</f>
        <v>0.51313333333333333</v>
      </c>
      <c r="K104" s="39">
        <f>(Data!$H104+Data!$J104)/2</f>
        <v>0.59212222222222222</v>
      </c>
      <c r="L104" s="41">
        <v>378962.4589715373</v>
      </c>
      <c r="M104" s="42">
        <f>L104/VLOOKUP(C104, exchange_rates[], 2, FALSE)</f>
        <v>7635.753757234279</v>
      </c>
      <c r="N104" s="39">
        <f>( LN( Data!$M104 ) - LN(100) ) / ( LN(75000) - LN(100) )</f>
        <v>0.65489105867422226</v>
      </c>
      <c r="O104" s="43">
        <f>POWER((Data!$F104*Data!$K104*Data!$N104), 1/3)</f>
        <v>0.66108988341431574</v>
      </c>
    </row>
    <row r="105" spans="2:15" x14ac:dyDescent="0.3">
      <c r="B105" s="38" t="s">
        <v>32</v>
      </c>
      <c r="C105" s="38">
        <v>2020</v>
      </c>
      <c r="D105" s="38" t="s">
        <v>15</v>
      </c>
      <c r="E105" s="38">
        <v>71.040000000000006</v>
      </c>
      <c r="F105" s="39">
        <f>(Data!$E105-20)/65</f>
        <v>0.78523076923076929</v>
      </c>
      <c r="G105" s="40">
        <v>12.5</v>
      </c>
      <c r="H105" s="40">
        <f>Data!$G105/18</f>
        <v>0.69444444444444442</v>
      </c>
      <c r="I105" s="40">
        <v>7.9710000000000001</v>
      </c>
      <c r="J105" s="40">
        <f>Data!$I105/15</f>
        <v>0.53139999999999998</v>
      </c>
      <c r="K105" s="39">
        <f>(Data!$H105+Data!$J105)/2</f>
        <v>0.61292222222222215</v>
      </c>
      <c r="L105" s="41">
        <v>449635.45179624867</v>
      </c>
      <c r="M105" s="42">
        <f>L105/VLOOKUP(C105, exchange_rates[], 2, FALSE)</f>
        <v>9059.7511947662424</v>
      </c>
      <c r="N105" s="39">
        <f>( LN( Data!$M105 ) - LN(100) ) / ( LN(75000) - LN(100) )</f>
        <v>0.6807215887401612</v>
      </c>
      <c r="O105" s="43">
        <f>POWER((Data!$F105*Data!$K105*Data!$N105), 1/3)</f>
        <v>0.68937796911806315</v>
      </c>
    </row>
    <row r="106" spans="2:15" x14ac:dyDescent="0.3">
      <c r="B106" s="38" t="s">
        <v>16</v>
      </c>
      <c r="C106" s="38">
        <v>2021</v>
      </c>
      <c r="D106" s="38" t="s">
        <v>14</v>
      </c>
      <c r="E106" s="38">
        <v>69.73</v>
      </c>
      <c r="F106" s="39">
        <f>(Data!$E106-20)/65</f>
        <v>0.7650769230769231</v>
      </c>
      <c r="G106" s="40">
        <v>12.41</v>
      </c>
      <c r="H106" s="40">
        <f>Data!$G106/18</f>
        <v>0.68944444444444442</v>
      </c>
      <c r="I106" s="40">
        <v>6.8040000000000003</v>
      </c>
      <c r="J106" s="40">
        <f>Data!$I106/15</f>
        <v>0.4536</v>
      </c>
      <c r="K106" s="39">
        <f>(Data!$H106+Data!$J106)/2</f>
        <v>0.57152222222222226</v>
      </c>
      <c r="L106" s="41">
        <v>167113.58827914653</v>
      </c>
      <c r="M106" s="42">
        <f>L106/VLOOKUP(C106, exchange_rates[], 2, FALSE)</f>
        <v>3481.5330891488861</v>
      </c>
      <c r="N106" s="39">
        <f>( LN( Data!$M106 ) - LN(100) ) / ( LN(75000) - LN(100) )</f>
        <v>0.5362565823481894</v>
      </c>
      <c r="O106" s="43">
        <f>POWER((Data!$F106*Data!$K106*Data!$N106), 1/3)</f>
        <v>0.61664746911460344</v>
      </c>
    </row>
    <row r="107" spans="2:15" x14ac:dyDescent="0.3">
      <c r="B107" s="38" t="s">
        <v>17</v>
      </c>
      <c r="C107" s="38">
        <v>2021</v>
      </c>
      <c r="D107" s="38" t="s">
        <v>14</v>
      </c>
      <c r="E107" s="38">
        <v>73.61</v>
      </c>
      <c r="F107" s="39">
        <f>(Data!$E107-20)/65</f>
        <v>0.82476923076923081</v>
      </c>
      <c r="G107" s="40">
        <v>13.87</v>
      </c>
      <c r="H107" s="40">
        <f>Data!$G107/18</f>
        <v>0.77055555555555555</v>
      </c>
      <c r="I107" s="40">
        <v>10.19</v>
      </c>
      <c r="J107" s="40">
        <f>Data!$I107/15</f>
        <v>0.67933333333333334</v>
      </c>
      <c r="K107" s="39">
        <f>(Data!$H107+Data!$J107)/2</f>
        <v>0.72494444444444439</v>
      </c>
      <c r="L107" s="41">
        <v>367849.44975727162</v>
      </c>
      <c r="M107" s="42">
        <f>L107/VLOOKUP(C107, exchange_rates[], 2, FALSE)</f>
        <v>7663.5302032764921</v>
      </c>
      <c r="N107" s="39">
        <f>( LN( Data!$M107 ) - LN(100) ) / ( LN(75000) - LN(100) )</f>
        <v>0.65543955440682056</v>
      </c>
      <c r="O107" s="43">
        <f>POWER((Data!$F107*Data!$K107*Data!$N107), 1/3)</f>
        <v>0.73179584795708741</v>
      </c>
    </row>
    <row r="108" spans="2:15" x14ac:dyDescent="0.3">
      <c r="B108" s="38" t="s">
        <v>19</v>
      </c>
      <c r="C108" s="38">
        <v>2021</v>
      </c>
      <c r="D108" s="38" t="s">
        <v>14</v>
      </c>
      <c r="E108" s="38">
        <v>69.010000000000005</v>
      </c>
      <c r="F108" s="39">
        <f>(Data!$E108-20)/65</f>
        <v>0.75400000000000011</v>
      </c>
      <c r="G108" s="40">
        <v>13.43</v>
      </c>
      <c r="H108" s="40">
        <f>Data!$G108/18</f>
        <v>0.74611111111111106</v>
      </c>
      <c r="I108" s="40">
        <v>9.6649999999999991</v>
      </c>
      <c r="J108" s="40">
        <f>Data!$I108/15</f>
        <v>0.64433333333333331</v>
      </c>
      <c r="K108" s="39">
        <f>(Data!$H108+Data!$J108)/2</f>
        <v>0.69522222222222219</v>
      </c>
      <c r="L108" s="41">
        <v>374905.40864662256</v>
      </c>
      <c r="M108" s="42">
        <f>L108/VLOOKUP(C108, exchange_rates[], 2, FALSE)</f>
        <v>7810.5293468046366</v>
      </c>
      <c r="N108" s="39">
        <f>( LN( Data!$M108 ) - LN(100) ) / ( LN(75000) - LN(100) )</f>
        <v>0.65830961330303606</v>
      </c>
      <c r="O108" s="43">
        <f>POWER((Data!$F108*Data!$K108*Data!$N108), 1/3)</f>
        <v>0.70141502207835438</v>
      </c>
    </row>
    <row r="109" spans="2:15" x14ac:dyDescent="0.3">
      <c r="B109" s="38" t="s">
        <v>20</v>
      </c>
      <c r="C109" s="38">
        <v>2021</v>
      </c>
      <c r="D109" s="38" t="s">
        <v>14</v>
      </c>
      <c r="E109" s="38">
        <v>73.45</v>
      </c>
      <c r="F109" s="39">
        <f>(Data!$E109-20)/65</f>
        <v>0.82230769230769241</v>
      </c>
      <c r="G109" s="40">
        <v>13.72</v>
      </c>
      <c r="H109" s="40">
        <f>Data!$G109/18</f>
        <v>0.76222222222222225</v>
      </c>
      <c r="I109" s="40">
        <v>8.6929999999999996</v>
      </c>
      <c r="J109" s="40">
        <f>Data!$I109/15</f>
        <v>0.57953333333333334</v>
      </c>
      <c r="K109" s="39">
        <f>(Data!$H109+Data!$J109)/2</f>
        <v>0.6708777777777778</v>
      </c>
      <c r="L109" s="41">
        <v>334177.98843515466</v>
      </c>
      <c r="M109" s="42">
        <f>L109/VLOOKUP(C109, exchange_rates[], 2, FALSE)</f>
        <v>6962.0414257323891</v>
      </c>
      <c r="N109" s="39">
        <f>( LN( Data!$M109 ) - LN(100) ) / ( LN(75000) - LN(100) )</f>
        <v>0.64093820419436354</v>
      </c>
      <c r="O109" s="43">
        <f>POWER((Data!$F109*Data!$K109*Data!$N109), 1/3)</f>
        <v>0.70712790005425996</v>
      </c>
    </row>
    <row r="110" spans="2:15" x14ac:dyDescent="0.3">
      <c r="B110" s="38" t="s">
        <v>21</v>
      </c>
      <c r="C110" s="38">
        <v>2021</v>
      </c>
      <c r="D110" s="38" t="s">
        <v>14</v>
      </c>
      <c r="E110" s="38">
        <v>71.83</v>
      </c>
      <c r="F110" s="39">
        <f>(Data!$E110-20)/65</f>
        <v>0.79738461538461536</v>
      </c>
      <c r="G110" s="40">
        <v>13.15</v>
      </c>
      <c r="H110" s="40">
        <f>Data!$G110/18</f>
        <v>0.73055555555555562</v>
      </c>
      <c r="I110" s="40">
        <v>9.3949999999999996</v>
      </c>
      <c r="J110" s="40">
        <f>Data!$I110/15</f>
        <v>0.6263333333333333</v>
      </c>
      <c r="K110" s="39">
        <f>(Data!$H110+Data!$J110)/2</f>
        <v>0.67844444444444441</v>
      </c>
      <c r="L110" s="41">
        <v>410622.27399440511</v>
      </c>
      <c r="M110" s="42">
        <f>L110/VLOOKUP(C110, exchange_rates[], 2, FALSE)</f>
        <v>8554.6307082167732</v>
      </c>
      <c r="N110" s="39">
        <f>( LN( Data!$M110 ) - LN(100) ) / ( LN(75000) - LN(100) )</f>
        <v>0.67205568485859435</v>
      </c>
      <c r="O110" s="43">
        <f>POWER((Data!$F110*Data!$K110*Data!$N110), 1/3)</f>
        <v>0.71372208240485646</v>
      </c>
    </row>
    <row r="111" spans="2:15" x14ac:dyDescent="0.3">
      <c r="B111" s="38" t="s">
        <v>22</v>
      </c>
      <c r="C111" s="38">
        <v>2021</v>
      </c>
      <c r="D111" s="38" t="s">
        <v>14</v>
      </c>
      <c r="E111" s="38">
        <v>71.3</v>
      </c>
      <c r="F111" s="39">
        <f>(Data!$E111-20)/65</f>
        <v>0.78923076923076918</v>
      </c>
      <c r="G111" s="40">
        <v>13.23</v>
      </c>
      <c r="H111" s="40">
        <f>Data!$G111/18</f>
        <v>0.73499999999999999</v>
      </c>
      <c r="I111" s="40">
        <v>9.6780000000000008</v>
      </c>
      <c r="J111" s="40">
        <f>Data!$I111/15</f>
        <v>0.64520000000000011</v>
      </c>
      <c r="K111" s="39">
        <f>(Data!$H111+Data!$J111)/2</f>
        <v>0.69010000000000005</v>
      </c>
      <c r="L111" s="41">
        <v>410622.27399440511</v>
      </c>
      <c r="M111" s="42">
        <f>L111/VLOOKUP(C111, exchange_rates[], 2, FALSE)</f>
        <v>8554.6307082167732</v>
      </c>
      <c r="N111" s="39">
        <f>( LN( Data!$M111 ) - LN(100) ) / ( LN(75000) - LN(100) )</f>
        <v>0.67205568485859435</v>
      </c>
      <c r="O111" s="43">
        <f>POWER((Data!$F111*Data!$K111*Data!$N111), 1/3)</f>
        <v>0.71533108570830684</v>
      </c>
    </row>
    <row r="112" spans="2:15" x14ac:dyDescent="0.3">
      <c r="B112" s="38" t="s">
        <v>23</v>
      </c>
      <c r="C112" s="38">
        <v>2021</v>
      </c>
      <c r="D112" s="38" t="s">
        <v>14</v>
      </c>
      <c r="E112" s="38">
        <v>70.73</v>
      </c>
      <c r="F112" s="39">
        <f>(Data!$E112-20)/65</f>
        <v>0.78046153846153854</v>
      </c>
      <c r="G112" s="40">
        <v>13.43</v>
      </c>
      <c r="H112" s="40">
        <f>Data!$G112/18</f>
        <v>0.74611111111111106</v>
      </c>
      <c r="I112" s="40">
        <v>8.6809999999999992</v>
      </c>
      <c r="J112" s="40">
        <f>Data!$I112/15</f>
        <v>0.57873333333333332</v>
      </c>
      <c r="K112" s="39">
        <f>(Data!$H112+Data!$J112)/2</f>
        <v>0.66242222222222225</v>
      </c>
      <c r="L112" s="41">
        <v>284198.73101562529</v>
      </c>
      <c r="M112" s="42">
        <f>L112/VLOOKUP(C112, exchange_rates[], 2, FALSE)</f>
        <v>5920.8068961588606</v>
      </c>
      <c r="N112" s="39">
        <f>( LN( Data!$M112 ) - LN(100) ) / ( LN(75000) - LN(100) )</f>
        <v>0.61646717571084275</v>
      </c>
      <c r="O112" s="43">
        <f>POWER((Data!$F112*Data!$K112*Data!$N112), 1/3)</f>
        <v>0.68307037783335556</v>
      </c>
    </row>
    <row r="113" spans="2:15" x14ac:dyDescent="0.3">
      <c r="B113" s="38" t="s">
        <v>24</v>
      </c>
      <c r="C113" s="38">
        <v>2021</v>
      </c>
      <c r="D113" s="38" t="s">
        <v>14</v>
      </c>
      <c r="E113" s="38">
        <v>69.92</v>
      </c>
      <c r="F113" s="39">
        <f>(Data!$E113-20)/65</f>
        <v>0.76800000000000002</v>
      </c>
      <c r="G113" s="40">
        <v>13.27</v>
      </c>
      <c r="H113" s="40">
        <f>Data!$G113/18</f>
        <v>0.73722222222222222</v>
      </c>
      <c r="I113" s="40">
        <v>7.9370000000000003</v>
      </c>
      <c r="J113" s="40">
        <f>Data!$I113/15</f>
        <v>0.52913333333333334</v>
      </c>
      <c r="K113" s="39">
        <f>(Data!$H113+Data!$J113)/2</f>
        <v>0.63317777777777784</v>
      </c>
      <c r="L113" s="41">
        <v>269259.00239127176</v>
      </c>
      <c r="M113" s="42">
        <f>L113/VLOOKUP(C113, exchange_rates[], 2, FALSE)</f>
        <v>5609.5625498181616</v>
      </c>
      <c r="N113" s="39">
        <f>( LN( Data!$M113 ) - LN(100) ) / ( LN(75000) - LN(100) )</f>
        <v>0.60831016621633527</v>
      </c>
      <c r="O113" s="43">
        <f>POWER((Data!$F113*Data!$K113*Data!$N113), 1/3)</f>
        <v>0.66630128827379953</v>
      </c>
    </row>
    <row r="114" spans="2:15" x14ac:dyDescent="0.3">
      <c r="B114" s="38" t="s">
        <v>18</v>
      </c>
      <c r="C114" s="38">
        <v>2021</v>
      </c>
      <c r="D114" s="38" t="s">
        <v>14</v>
      </c>
      <c r="E114" s="38">
        <v>74.099999999999994</v>
      </c>
      <c r="F114" s="39">
        <f>(Data!$E114-20)/65</f>
        <v>0.83230769230769219</v>
      </c>
      <c r="G114" s="40">
        <v>13.23</v>
      </c>
      <c r="H114" s="40">
        <f>Data!$G114/18</f>
        <v>0.73499999999999999</v>
      </c>
      <c r="I114" s="40">
        <v>10.5</v>
      </c>
      <c r="J114" s="40">
        <f>Data!$I114/15</f>
        <v>0.7</v>
      </c>
      <c r="K114" s="39">
        <f>(Data!$H114+Data!$J114)/2</f>
        <v>0.71750000000000003</v>
      </c>
      <c r="L114" s="41">
        <v>421438.45415573934</v>
      </c>
      <c r="M114" s="42">
        <f>L114/VLOOKUP(C114, exchange_rates[], 2, FALSE)</f>
        <v>8779.9677949112356</v>
      </c>
      <c r="N114" s="39">
        <f>( LN( Data!$M114 ) - LN(100) ) / ( LN(75000) - LN(100) )</f>
        <v>0.67598313387446818</v>
      </c>
      <c r="O114" s="43">
        <f>POWER((Data!$F114*Data!$K114*Data!$N114), 1/3)</f>
        <v>0.73906146409464124</v>
      </c>
    </row>
    <row r="115" spans="2:15" x14ac:dyDescent="0.3">
      <c r="B115" s="38" t="s">
        <v>25</v>
      </c>
      <c r="C115" s="38">
        <v>2021</v>
      </c>
      <c r="D115" s="38" t="s">
        <v>14</v>
      </c>
      <c r="E115" s="38">
        <v>70.73</v>
      </c>
      <c r="F115" s="39">
        <f>(Data!$E115-20)/65</f>
        <v>0.78046153846153854</v>
      </c>
      <c r="G115" s="40">
        <v>12.49</v>
      </c>
      <c r="H115" s="40">
        <f>Data!$G115/18</f>
        <v>0.69388888888888889</v>
      </c>
      <c r="I115" s="40">
        <v>8.5909999999999993</v>
      </c>
      <c r="J115" s="40">
        <f>Data!$I115/15</f>
        <v>0.57273333333333332</v>
      </c>
      <c r="K115" s="39">
        <f>(Data!$H115+Data!$J115)/2</f>
        <v>0.63331111111111116</v>
      </c>
      <c r="L115" s="41">
        <v>289650.1312114803</v>
      </c>
      <c r="M115" s="42">
        <f>L115/VLOOKUP(C115, exchange_rates[], 2, FALSE)</f>
        <v>6034.3777335725063</v>
      </c>
      <c r="N115" s="39">
        <f>( LN( Data!$M115 ) - LN(100) ) / ( LN(75000) - LN(100) )</f>
        <v>0.61933723460705792</v>
      </c>
      <c r="O115" s="43">
        <f>POWER((Data!$F115*Data!$K115*Data!$N115), 1/3)</f>
        <v>0.67395660611271635</v>
      </c>
    </row>
    <row r="116" spans="2:15" x14ac:dyDescent="0.3">
      <c r="B116" s="38" t="s">
        <v>26</v>
      </c>
      <c r="C116" s="38">
        <v>2021</v>
      </c>
      <c r="D116" s="38" t="s">
        <v>14</v>
      </c>
      <c r="E116" s="38">
        <v>71.069999999999993</v>
      </c>
      <c r="F116" s="39">
        <f>(Data!$E116-20)/65</f>
        <v>0.78569230769230758</v>
      </c>
      <c r="G116" s="40">
        <v>13.42</v>
      </c>
      <c r="H116" s="40">
        <f>Data!$G116/18</f>
        <v>0.74555555555555553</v>
      </c>
      <c r="I116" s="40">
        <v>9.2319999999999993</v>
      </c>
      <c r="J116" s="40">
        <f>Data!$I116/15</f>
        <v>0.61546666666666661</v>
      </c>
      <c r="K116" s="39">
        <f>(Data!$H116+Data!$J116)/2</f>
        <v>0.68051111111111107</v>
      </c>
      <c r="L116" s="41">
        <v>307868.80995886103</v>
      </c>
      <c r="M116" s="42">
        <f>L116/VLOOKUP(C116, exchange_rates[], 2, FALSE)</f>
        <v>6413.9335408096049</v>
      </c>
      <c r="N116" s="39">
        <f>( LN( Data!$M116 ) - LN(100) ) / ( LN(75000) - LN(100) )</f>
        <v>0.62855163422122329</v>
      </c>
      <c r="O116" s="43">
        <f>POWER((Data!$F116*Data!$K116*Data!$N116), 1/3)</f>
        <v>0.69525303583175491</v>
      </c>
    </row>
    <row r="117" spans="2:15" x14ac:dyDescent="0.3">
      <c r="B117" s="38" t="s">
        <v>27</v>
      </c>
      <c r="C117" s="38">
        <v>2021</v>
      </c>
      <c r="D117" s="38" t="s">
        <v>14</v>
      </c>
      <c r="E117" s="38">
        <v>70.89</v>
      </c>
      <c r="F117" s="39">
        <f>(Data!$E117-20)/65</f>
        <v>0.78292307692307694</v>
      </c>
      <c r="G117" s="40">
        <v>13.2</v>
      </c>
      <c r="H117" s="40">
        <f>Data!$G117/18</f>
        <v>0.73333333333333328</v>
      </c>
      <c r="I117" s="40">
        <v>8.5990000000000002</v>
      </c>
      <c r="J117" s="40">
        <f>Data!$I117/15</f>
        <v>0.5732666666666667</v>
      </c>
      <c r="K117" s="39">
        <f>(Data!$H117+Data!$J117)/2</f>
        <v>0.65329999999999999</v>
      </c>
      <c r="L117" s="41">
        <v>303892.41797796765</v>
      </c>
      <c r="M117" s="42">
        <f>L117/VLOOKUP(C117, exchange_rates[], 2, FALSE)</f>
        <v>6331.0920412076593</v>
      </c>
      <c r="N117" s="39">
        <f>( LN( Data!$M117 ) - LN(100) ) / ( LN(75000) - LN(100) )</f>
        <v>0.62658790971328637</v>
      </c>
      <c r="O117" s="43">
        <f>POWER((Data!$F117*Data!$K117*Data!$N117), 1/3)</f>
        <v>0.68433894255152372</v>
      </c>
    </row>
    <row r="118" spans="2:15" x14ac:dyDescent="0.3">
      <c r="B118" s="38" t="s">
        <v>28</v>
      </c>
      <c r="C118" s="38">
        <v>2021</v>
      </c>
      <c r="D118" s="38" t="s">
        <v>14</v>
      </c>
      <c r="E118" s="38">
        <v>70.7</v>
      </c>
      <c r="F118" s="39">
        <f>(Data!$E118-20)/65</f>
        <v>0.78</v>
      </c>
      <c r="G118" s="40">
        <v>13.71</v>
      </c>
      <c r="H118" s="40">
        <f>Data!$G118/18</f>
        <v>0.76166666666666671</v>
      </c>
      <c r="I118" s="40">
        <v>8.8130000000000006</v>
      </c>
      <c r="J118" s="40">
        <f>Data!$I118/15</f>
        <v>0.58753333333333335</v>
      </c>
      <c r="K118" s="39">
        <f>(Data!$H118+Data!$J118)/2</f>
        <v>0.67460000000000009</v>
      </c>
      <c r="L118" s="41">
        <v>295797.10125286697</v>
      </c>
      <c r="M118" s="42">
        <f>L118/VLOOKUP(C118, exchange_rates[], 2, FALSE)</f>
        <v>6162.4396094347285</v>
      </c>
      <c r="N118" s="39">
        <f>( LN( Data!$M118 ) - LN(100) ) / ( LN(75000) - LN(100) )</f>
        <v>0.62250940496603269</v>
      </c>
      <c r="O118" s="43">
        <f>POWER((Data!$F118*Data!$K118*Data!$N118), 1/3)</f>
        <v>0.68933281358411369</v>
      </c>
    </row>
    <row r="119" spans="2:15" x14ac:dyDescent="0.3">
      <c r="B119" s="38" t="s">
        <v>29</v>
      </c>
      <c r="C119" s="38">
        <v>2021</v>
      </c>
      <c r="D119" s="38" t="s">
        <v>14</v>
      </c>
      <c r="E119" s="38">
        <v>71.95</v>
      </c>
      <c r="F119" s="39">
        <f>(Data!$E119-20)/65</f>
        <v>0.7992307692307693</v>
      </c>
      <c r="G119" s="40">
        <v>13.49</v>
      </c>
      <c r="H119" s="40">
        <f>Data!$G119/18</f>
        <v>0.74944444444444447</v>
      </c>
      <c r="I119" s="40">
        <v>9.0079999999999991</v>
      </c>
      <c r="J119" s="40">
        <f>Data!$I119/15</f>
        <v>0.60053333333333325</v>
      </c>
      <c r="K119" s="39">
        <f>(Data!$H119+Data!$J119)/2</f>
        <v>0.67498888888888886</v>
      </c>
      <c r="L119" s="41">
        <v>335853.06257293886</v>
      </c>
      <c r="M119" s="42">
        <f>L119/VLOOKUP(C119, exchange_rates[], 2, FALSE)</f>
        <v>6996.9388036028931</v>
      </c>
      <c r="N119" s="39">
        <f>( LN( Data!$M119 ) - LN(100) ) / ( LN(75000) - LN(100) )</f>
        <v>0.64169348285126238</v>
      </c>
      <c r="O119" s="43">
        <f>POWER((Data!$F119*Data!$K119*Data!$N119), 1/3)</f>
        <v>0.70215363617696025</v>
      </c>
    </row>
    <row r="120" spans="2:15" x14ac:dyDescent="0.3">
      <c r="B120" s="38" t="s">
        <v>30</v>
      </c>
      <c r="C120" s="38">
        <v>2021</v>
      </c>
      <c r="D120" s="38" t="s">
        <v>14</v>
      </c>
      <c r="E120" s="38">
        <v>73.099999999999994</v>
      </c>
      <c r="F120" s="39">
        <f>(Data!$E120-20)/65</f>
        <v>0.81692307692307686</v>
      </c>
      <c r="G120" s="40">
        <v>13.03</v>
      </c>
      <c r="H120" s="40">
        <f>Data!$G120/18</f>
        <v>0.7238888888888888</v>
      </c>
      <c r="I120" s="40">
        <v>8.9060000000000006</v>
      </c>
      <c r="J120" s="40">
        <f>Data!$I120/15</f>
        <v>0.59373333333333334</v>
      </c>
      <c r="K120" s="39">
        <f>(Data!$H120+Data!$J120)/2</f>
        <v>0.65881111111111101</v>
      </c>
      <c r="L120" s="41">
        <v>310652.13542566996</v>
      </c>
      <c r="M120" s="42">
        <f>L120/VLOOKUP(C120, exchange_rates[], 2, FALSE)</f>
        <v>6471.9194880347904</v>
      </c>
      <c r="N120" s="39">
        <f>( LN( Data!$M120 ) - LN(100) ) / ( LN(75000) - LN(100) )</f>
        <v>0.62991113580364122</v>
      </c>
      <c r="O120" s="43">
        <f>POWER((Data!$F120*Data!$K120*Data!$N120), 1/3)</f>
        <v>0.69727986079158388</v>
      </c>
    </row>
    <row r="121" spans="2:15" x14ac:dyDescent="0.3">
      <c r="B121" s="38" t="s">
        <v>31</v>
      </c>
      <c r="C121" s="38">
        <v>2021</v>
      </c>
      <c r="D121" s="38" t="s">
        <v>14</v>
      </c>
      <c r="E121" s="38">
        <v>69.790000000000006</v>
      </c>
      <c r="F121" s="39">
        <f>(Data!$E121-20)/65</f>
        <v>0.76600000000000013</v>
      </c>
      <c r="G121" s="40">
        <v>13.2</v>
      </c>
      <c r="H121" s="40">
        <f>Data!$G121/18</f>
        <v>0.73333333333333328</v>
      </c>
      <c r="I121" s="40">
        <v>8.4429999999999996</v>
      </c>
      <c r="J121" s="40">
        <f>Data!$I121/15</f>
        <v>0.56286666666666663</v>
      </c>
      <c r="K121" s="39">
        <f>(Data!$H121+Data!$J121)/2</f>
        <v>0.6480999999999999</v>
      </c>
      <c r="L121" s="41">
        <v>278014.63342998084</v>
      </c>
      <c r="M121" s="42">
        <f>L121/VLOOKUP(C121, exchange_rates[], 2, FALSE)</f>
        <v>5791.9715297912671</v>
      </c>
      <c r="N121" s="39">
        <f>( LN( Data!$M121 ) - LN(100) ) / ( LN(75000) - LN(100) )</f>
        <v>0.61314394962048768</v>
      </c>
      <c r="O121" s="43">
        <f>POWER((Data!$F121*Data!$K121*Data!$N121), 1/3)</f>
        <v>0.67268397121648404</v>
      </c>
    </row>
    <row r="122" spans="2:15" x14ac:dyDescent="0.3">
      <c r="B122" s="38" t="s">
        <v>32</v>
      </c>
      <c r="C122" s="38">
        <v>2021</v>
      </c>
      <c r="D122" s="38" t="s">
        <v>14</v>
      </c>
      <c r="E122" s="38">
        <v>72.739999999999995</v>
      </c>
      <c r="F122" s="39">
        <f>(Data!$E122-20)/65</f>
        <v>0.81138461538461526</v>
      </c>
      <c r="G122" s="40">
        <v>13.46</v>
      </c>
      <c r="H122" s="40">
        <f>Data!$G122/18</f>
        <v>0.74777777777777787</v>
      </c>
      <c r="I122" s="40">
        <v>8.9990000000000006</v>
      </c>
      <c r="J122" s="40">
        <f>Data!$I122/15</f>
        <v>0.59993333333333332</v>
      </c>
      <c r="K122" s="39">
        <f>(Data!$H122+Data!$J122)/2</f>
        <v>0.67385555555555565</v>
      </c>
      <c r="L122" s="41">
        <v>319473.31542805868</v>
      </c>
      <c r="M122" s="42">
        <f>L122/VLOOKUP(C122, exchange_rates[], 2, FALSE)</f>
        <v>6655.6940714178891</v>
      </c>
      <c r="N122" s="39">
        <f>( LN( Data!$M122 ) - LN(100) ) / ( LN(75000) - LN(100) )</f>
        <v>0.63414069628227432</v>
      </c>
      <c r="O122" s="43">
        <f>POWER((Data!$F122*Data!$K122*Data!$N122), 1/3)</f>
        <v>0.70252168728513864</v>
      </c>
    </row>
    <row r="123" spans="2:15" x14ac:dyDescent="0.3">
      <c r="B123" s="38" t="s">
        <v>16</v>
      </c>
      <c r="C123" s="38">
        <v>2021</v>
      </c>
      <c r="D123" s="38" t="s">
        <v>15</v>
      </c>
      <c r="E123" s="38">
        <v>65.760000000000005</v>
      </c>
      <c r="F123" s="39">
        <f>(Data!$E123-20)/65</f>
        <v>0.70400000000000007</v>
      </c>
      <c r="G123" s="40">
        <v>10.99</v>
      </c>
      <c r="H123" s="40">
        <f>Data!$G123/18</f>
        <v>0.61055555555555552</v>
      </c>
      <c r="I123" s="40">
        <v>6.242</v>
      </c>
      <c r="J123" s="40">
        <f>Data!$I123/15</f>
        <v>0.41613333333333336</v>
      </c>
      <c r="K123" s="39">
        <f>(Data!$H123+Data!$J123)/2</f>
        <v>0.51334444444444438</v>
      </c>
      <c r="L123" s="41">
        <v>229676.9486594153</v>
      </c>
      <c r="M123" s="42">
        <f>L123/VLOOKUP(C123, exchange_rates[], 2, FALSE)</f>
        <v>4784.9364304044857</v>
      </c>
      <c r="N123" s="39">
        <f>( LN( Data!$M123 ) - LN(100) ) / ( LN(75000) - LN(100) )</f>
        <v>0.58429230492695328</v>
      </c>
      <c r="O123" s="43">
        <f>POWER((Data!$F123*Data!$K123*Data!$N123), 1/3)</f>
        <v>0.59548464047510785</v>
      </c>
    </row>
    <row r="124" spans="2:15" x14ac:dyDescent="0.3">
      <c r="B124" s="38" t="s">
        <v>17</v>
      </c>
      <c r="C124" s="38">
        <v>2021</v>
      </c>
      <c r="D124" s="38" t="s">
        <v>15</v>
      </c>
      <c r="E124" s="38">
        <v>68.86</v>
      </c>
      <c r="F124" s="39">
        <f>(Data!$E124-20)/65</f>
        <v>0.75169230769230766</v>
      </c>
      <c r="G124" s="40">
        <v>13.06</v>
      </c>
      <c r="H124" s="40">
        <f>Data!$G124/18</f>
        <v>0.72555555555555562</v>
      </c>
      <c r="I124" s="40">
        <v>9.1999999999999993</v>
      </c>
      <c r="J124" s="40">
        <f>Data!$I124/15</f>
        <v>0.61333333333333329</v>
      </c>
      <c r="K124" s="39">
        <f>(Data!$H124+Data!$J124)/2</f>
        <v>0.66944444444444451</v>
      </c>
      <c r="L124" s="41">
        <v>521481.47461614135</v>
      </c>
      <c r="M124" s="42">
        <f>L124/VLOOKUP(C124, exchange_rates[], 2, FALSE)</f>
        <v>10864.197387836279</v>
      </c>
      <c r="N124" s="39">
        <f>( LN( Data!$M124 ) - LN(100) ) / ( LN(75000) - LN(100) )</f>
        <v>0.70815800465835732</v>
      </c>
      <c r="O124" s="43">
        <f>POWER((Data!$F124*Data!$K124*Data!$N124), 1/3)</f>
        <v>0.70897067531682423</v>
      </c>
    </row>
    <row r="125" spans="2:15" x14ac:dyDescent="0.3">
      <c r="B125" s="38" t="s">
        <v>19</v>
      </c>
      <c r="C125" s="38">
        <v>2021</v>
      </c>
      <c r="D125" s="38" t="s">
        <v>15</v>
      </c>
      <c r="E125" s="38">
        <v>65.19</v>
      </c>
      <c r="F125" s="39">
        <f>(Data!$E125-20)/65</f>
        <v>0.69523076923076921</v>
      </c>
      <c r="G125" s="40">
        <v>12.51</v>
      </c>
      <c r="H125" s="40">
        <f>Data!$G125/18</f>
        <v>0.69499999999999995</v>
      </c>
      <c r="I125" s="40">
        <v>8.9779999999999998</v>
      </c>
      <c r="J125" s="40">
        <f>Data!$I125/15</f>
        <v>0.59853333333333336</v>
      </c>
      <c r="K125" s="39">
        <f>(Data!$H125+Data!$J125)/2</f>
        <v>0.64676666666666671</v>
      </c>
      <c r="L125" s="41">
        <v>532016.09920251672</v>
      </c>
      <c r="M125" s="42">
        <f>L125/VLOOKUP(C125, exchange_rates[], 2, FALSE)</f>
        <v>11083.668733385764</v>
      </c>
      <c r="N125" s="39">
        <f>( LN( Data!$M125 ) - LN(100) ) / ( LN(75000) - LN(100) )</f>
        <v>0.71117911928595245</v>
      </c>
      <c r="O125" s="43">
        <f>POWER((Data!$F125*Data!$K125*Data!$N125), 1/3)</f>
        <v>0.68383585837227967</v>
      </c>
    </row>
    <row r="126" spans="2:15" x14ac:dyDescent="0.3">
      <c r="B126" s="38" t="s">
        <v>20</v>
      </c>
      <c r="C126" s="38">
        <v>2021</v>
      </c>
      <c r="D126" s="38" t="s">
        <v>15</v>
      </c>
      <c r="E126" s="38">
        <v>68.739999999999995</v>
      </c>
      <c r="F126" s="39">
        <f>(Data!$E126-20)/65</f>
        <v>0.74984615384615372</v>
      </c>
      <c r="G126" s="40">
        <v>12.81</v>
      </c>
      <c r="H126" s="40">
        <f>Data!$G126/18</f>
        <v>0.71166666666666667</v>
      </c>
      <c r="I126" s="40">
        <v>8.0619999999999994</v>
      </c>
      <c r="J126" s="40">
        <f>Data!$I126/15</f>
        <v>0.53746666666666665</v>
      </c>
      <c r="K126" s="39">
        <f>(Data!$H126+Data!$J126)/2</f>
        <v>0.62456666666666671</v>
      </c>
      <c r="L126" s="41">
        <v>472328.04300293711</v>
      </c>
      <c r="M126" s="42">
        <f>L126/VLOOKUP(C126, exchange_rates[], 2, FALSE)</f>
        <v>9840.1675625611897</v>
      </c>
      <c r="N126" s="39">
        <f>( LN( Data!$M126 ) - LN(100) ) / ( LN(75000) - LN(100) )</f>
        <v>0.69320348725176073</v>
      </c>
      <c r="O126" s="43">
        <f>POWER((Data!$F126*Data!$K126*Data!$N126), 1/3)</f>
        <v>0.68728558685694474</v>
      </c>
    </row>
    <row r="127" spans="2:15" x14ac:dyDescent="0.3">
      <c r="B127" s="38" t="s">
        <v>21</v>
      </c>
      <c r="C127" s="38">
        <v>2021</v>
      </c>
      <c r="D127" s="38" t="s">
        <v>15</v>
      </c>
      <c r="E127" s="38">
        <v>67.45</v>
      </c>
      <c r="F127" s="39">
        <f>(Data!$E127-20)/65</f>
        <v>0.73000000000000009</v>
      </c>
      <c r="G127" s="40">
        <v>12.44</v>
      </c>
      <c r="H127" s="40">
        <f>Data!$G127/18</f>
        <v>0.69111111111111112</v>
      </c>
      <c r="I127" s="40">
        <v>9.077</v>
      </c>
      <c r="J127" s="40">
        <f>Data!$I127/15</f>
        <v>0.6051333333333333</v>
      </c>
      <c r="K127" s="39">
        <f>(Data!$H127+Data!$J127)/2</f>
        <v>0.64812222222222227</v>
      </c>
      <c r="L127" s="41">
        <v>584451.47076376237</v>
      </c>
      <c r="M127" s="42">
        <f>L127/VLOOKUP(C127, exchange_rates[], 2, FALSE)</f>
        <v>12176.072307578383</v>
      </c>
      <c r="N127" s="39">
        <f>( LN( Data!$M127 ) - LN(100) ) / ( LN(75000) - LN(100) )</f>
        <v>0.72537835803564987</v>
      </c>
      <c r="O127" s="43">
        <f>POWER((Data!$F127*Data!$K127*Data!$N127), 1/3)</f>
        <v>0.70013446284576131</v>
      </c>
    </row>
    <row r="128" spans="2:15" x14ac:dyDescent="0.3">
      <c r="B128" s="38" t="s">
        <v>22</v>
      </c>
      <c r="C128" s="38">
        <v>2021</v>
      </c>
      <c r="D128" s="38" t="s">
        <v>15</v>
      </c>
      <c r="E128" s="38">
        <v>67.03</v>
      </c>
      <c r="F128" s="39">
        <f>(Data!$E128-20)/65</f>
        <v>0.72353846153846157</v>
      </c>
      <c r="G128" s="40">
        <v>12.37</v>
      </c>
      <c r="H128" s="40">
        <f>Data!$G128/18</f>
        <v>0.68722222222222218</v>
      </c>
      <c r="I128" s="40">
        <v>9.3409999999999993</v>
      </c>
      <c r="J128" s="40">
        <f>Data!$I128/15</f>
        <v>0.62273333333333325</v>
      </c>
      <c r="K128" s="39">
        <f>(Data!$H128+Data!$J128)/2</f>
        <v>0.65497777777777766</v>
      </c>
      <c r="L128" s="41">
        <v>584451.47076376237</v>
      </c>
      <c r="M128" s="42">
        <f>L128/VLOOKUP(C128, exchange_rates[], 2, FALSE)</f>
        <v>12176.072307578383</v>
      </c>
      <c r="N128" s="39">
        <f>( LN( Data!$M128 ) - LN(100) ) / ( LN(75000) - LN(100) )</f>
        <v>0.72537835803564987</v>
      </c>
      <c r="O128" s="43">
        <f>POWER((Data!$F128*Data!$K128*Data!$N128), 1/3)</f>
        <v>0.70051524948918775</v>
      </c>
    </row>
    <row r="129" spans="2:15" x14ac:dyDescent="0.3">
      <c r="B129" s="38" t="s">
        <v>23</v>
      </c>
      <c r="C129" s="38">
        <v>2021</v>
      </c>
      <c r="D129" s="38" t="s">
        <v>15</v>
      </c>
      <c r="E129" s="38">
        <v>66.569999999999993</v>
      </c>
      <c r="F129" s="39">
        <f>(Data!$E129-20)/65</f>
        <v>0.71646153846153837</v>
      </c>
      <c r="G129" s="40">
        <v>12.82</v>
      </c>
      <c r="H129" s="40">
        <f>Data!$G129/18</f>
        <v>0.7122222222222222</v>
      </c>
      <c r="I129" s="40">
        <v>7.8280000000000003</v>
      </c>
      <c r="J129" s="40">
        <f>Data!$I129/15</f>
        <v>0.5218666666666667</v>
      </c>
      <c r="K129" s="39">
        <f>(Data!$H129+Data!$J129)/2</f>
        <v>0.61704444444444451</v>
      </c>
      <c r="L129" s="41">
        <v>398885.23763488262</v>
      </c>
      <c r="M129" s="42">
        <f>L129/VLOOKUP(C129, exchange_rates[], 2, FALSE)</f>
        <v>8310.1091173933874</v>
      </c>
      <c r="N129" s="39">
        <f>( LN( Data!$M129 ) - LN(100) ) / ( LN(75000) - LN(100) )</f>
        <v>0.66767506864858139</v>
      </c>
      <c r="O129" s="43">
        <f>POWER((Data!$F129*Data!$K129*Data!$N129), 1/3)</f>
        <v>0.66582203304470866</v>
      </c>
    </row>
    <row r="130" spans="2:15" x14ac:dyDescent="0.3">
      <c r="B130" s="38" t="s">
        <v>24</v>
      </c>
      <c r="C130" s="38">
        <v>2021</v>
      </c>
      <c r="D130" s="38" t="s">
        <v>15</v>
      </c>
      <c r="E130" s="38">
        <v>65.92</v>
      </c>
      <c r="F130" s="39">
        <f>(Data!$E130-20)/65</f>
        <v>0.70646153846153847</v>
      </c>
      <c r="G130" s="40">
        <v>12.51</v>
      </c>
      <c r="H130" s="40">
        <f>Data!$G130/18</f>
        <v>0.69499999999999995</v>
      </c>
      <c r="I130" s="40">
        <v>7.2709999999999999</v>
      </c>
      <c r="J130" s="40">
        <f>Data!$I130/15</f>
        <v>0.48473333333333335</v>
      </c>
      <c r="K130" s="39">
        <f>(Data!$H130+Data!$J130)/2</f>
        <v>0.58986666666666665</v>
      </c>
      <c r="L130" s="41">
        <v>377161.60291272192</v>
      </c>
      <c r="M130" s="42">
        <f>L130/VLOOKUP(C130, exchange_rates[], 2, FALSE)</f>
        <v>7857.5333940150404</v>
      </c>
      <c r="N130" s="39">
        <f>( LN( Data!$M130 ) - LN(100) ) / ( LN(75000) - LN(100) )</f>
        <v>0.65921594769131464</v>
      </c>
      <c r="O130" s="43">
        <f>POWER((Data!$F130*Data!$K130*Data!$N130), 1/3)</f>
        <v>0.65006486584462397</v>
      </c>
    </row>
    <row r="131" spans="2:15" x14ac:dyDescent="0.3">
      <c r="B131" s="38" t="s">
        <v>18</v>
      </c>
      <c r="C131" s="38">
        <v>2021</v>
      </c>
      <c r="D131" s="38" t="s">
        <v>15</v>
      </c>
      <c r="E131" s="38">
        <v>69.260000000000005</v>
      </c>
      <c r="F131" s="39">
        <f>(Data!$E131-20)/65</f>
        <v>0.75784615384615395</v>
      </c>
      <c r="G131" s="40">
        <v>12.48</v>
      </c>
      <c r="H131" s="40">
        <f>Data!$G131/18</f>
        <v>0.69333333333333336</v>
      </c>
      <c r="I131" s="40">
        <v>10.210000000000001</v>
      </c>
      <c r="J131" s="40">
        <f>Data!$I131/15</f>
        <v>0.68066666666666675</v>
      </c>
      <c r="K131" s="39">
        <f>(Data!$H131+Data!$J131)/2</f>
        <v>0.68700000000000006</v>
      </c>
      <c r="L131" s="41">
        <v>601047.37028720812</v>
      </c>
      <c r="M131" s="42">
        <f>L131/VLOOKUP(C131, exchange_rates[], 2, FALSE)</f>
        <v>12521.820214316836</v>
      </c>
      <c r="N131" s="39">
        <f>( LN( Data!$M131 ) - LN(100) ) / ( LN(75000) - LN(100) )</f>
        <v>0.72960791851428319</v>
      </c>
      <c r="O131" s="43">
        <f>POWER((Data!$F131*Data!$K131*Data!$N131), 1/3)</f>
        <v>0.7242287739874369</v>
      </c>
    </row>
    <row r="132" spans="2:15" x14ac:dyDescent="0.3">
      <c r="B132" s="38" t="s">
        <v>25</v>
      </c>
      <c r="C132" s="38">
        <v>2021</v>
      </c>
      <c r="D132" s="38" t="s">
        <v>15</v>
      </c>
      <c r="E132" s="38">
        <v>66.569999999999993</v>
      </c>
      <c r="F132" s="39">
        <f>(Data!$E132-20)/65</f>
        <v>0.71646153846153837</v>
      </c>
      <c r="G132" s="40">
        <v>11.49</v>
      </c>
      <c r="H132" s="40">
        <f>Data!$G132/18</f>
        <v>0.63833333333333331</v>
      </c>
      <c r="I132" s="40">
        <v>7.9189999999999996</v>
      </c>
      <c r="J132" s="40">
        <f>Data!$I132/15</f>
        <v>0.52793333333333325</v>
      </c>
      <c r="K132" s="39">
        <f>(Data!$H132+Data!$J132)/2</f>
        <v>0.58313333333333328</v>
      </c>
      <c r="L132" s="41">
        <v>406943.25395199796</v>
      </c>
      <c r="M132" s="42">
        <f>L132/VLOOKUP(C132, exchange_rates[], 2, FALSE)</f>
        <v>8477.9844573332903</v>
      </c>
      <c r="N132" s="39">
        <f>( LN( Data!$M132 ) - LN(100) ) / ( LN(75000) - LN(100) )</f>
        <v>0.67069618327617653</v>
      </c>
      <c r="O132" s="43">
        <f>POWER((Data!$F132*Data!$K132*Data!$N132), 1/3)</f>
        <v>0.65437825791357085</v>
      </c>
    </row>
    <row r="133" spans="2:15" x14ac:dyDescent="0.3">
      <c r="B133" s="38" t="s">
        <v>26</v>
      </c>
      <c r="C133" s="38">
        <v>2021</v>
      </c>
      <c r="D133" s="38" t="s">
        <v>15</v>
      </c>
      <c r="E133" s="38">
        <v>66.84</v>
      </c>
      <c r="F133" s="39">
        <f>(Data!$E133-20)/65</f>
        <v>0.72061538461538466</v>
      </c>
      <c r="G133" s="40">
        <v>12.84</v>
      </c>
      <c r="H133" s="40">
        <f>Data!$G133/18</f>
        <v>0.71333333333333337</v>
      </c>
      <c r="I133" s="40">
        <v>8.7319999999999993</v>
      </c>
      <c r="J133" s="40">
        <f>Data!$I133/15</f>
        <v>0.58213333333333328</v>
      </c>
      <c r="K133" s="39">
        <f>(Data!$H133+Data!$J133)/2</f>
        <v>0.64773333333333327</v>
      </c>
      <c r="L133" s="41">
        <v>433405.48750299914</v>
      </c>
      <c r="M133" s="42">
        <f>L133/VLOOKUP(C133, exchange_rates[], 2, FALSE)</f>
        <v>9029.2809896458148</v>
      </c>
      <c r="N133" s="39">
        <f>( LN( Data!$M133 ) - LN(100) ) / ( LN(75000) - LN(100) )</f>
        <v>0.6802126943531015</v>
      </c>
      <c r="O133" s="43">
        <f>POWER((Data!$F133*Data!$K133*Data!$N133), 1/3)</f>
        <v>0.68220490320698013</v>
      </c>
    </row>
    <row r="134" spans="2:15" x14ac:dyDescent="0.3">
      <c r="B134" s="38" t="s">
        <v>27</v>
      </c>
      <c r="C134" s="38">
        <v>2021</v>
      </c>
      <c r="D134" s="38" t="s">
        <v>15</v>
      </c>
      <c r="E134" s="38">
        <v>66.7</v>
      </c>
      <c r="F134" s="39">
        <f>(Data!$E134-20)/65</f>
        <v>0.71846153846153848</v>
      </c>
      <c r="G134" s="40">
        <v>12.55</v>
      </c>
      <c r="H134" s="40">
        <f>Data!$G134/18</f>
        <v>0.6972222222222223</v>
      </c>
      <c r="I134" s="40">
        <v>8.1440000000000001</v>
      </c>
      <c r="J134" s="40">
        <f>Data!$I134/15</f>
        <v>0.54293333333333338</v>
      </c>
      <c r="K134" s="39">
        <f>(Data!$H134+Data!$J134)/2</f>
        <v>0.62007777777777784</v>
      </c>
      <c r="L134" s="41">
        <v>427380.08689675538</v>
      </c>
      <c r="M134" s="42">
        <f>L134/VLOOKUP(C134, exchange_rates[], 2, FALSE)</f>
        <v>8903.7518103490711</v>
      </c>
      <c r="N134" s="39">
        <f>( LN( Data!$M134 ) - LN(100) ) / ( LN(75000) - LN(100) )</f>
        <v>0.67809791411378473</v>
      </c>
      <c r="O134" s="43">
        <f>POWER((Data!$F134*Data!$K134*Data!$N134), 1/3)</f>
        <v>0.67098688759297853</v>
      </c>
    </row>
    <row r="135" spans="2:15" x14ac:dyDescent="0.3">
      <c r="B135" s="38" t="s">
        <v>28</v>
      </c>
      <c r="C135" s="38">
        <v>2021</v>
      </c>
      <c r="D135" s="38" t="s">
        <v>15</v>
      </c>
      <c r="E135" s="38">
        <v>66.55</v>
      </c>
      <c r="F135" s="39">
        <f>(Data!$E135-20)/65</f>
        <v>0.71615384615384614</v>
      </c>
      <c r="G135" s="40">
        <v>12.65</v>
      </c>
      <c r="H135" s="40">
        <f>Data!$G135/18</f>
        <v>0.70277777777777783</v>
      </c>
      <c r="I135" s="40">
        <v>7.9359999999999999</v>
      </c>
      <c r="J135" s="40">
        <f>Data!$I135/15</f>
        <v>0.52906666666666669</v>
      </c>
      <c r="K135" s="39">
        <f>(Data!$H135+Data!$J135)/2</f>
        <v>0.61592222222222226</v>
      </c>
      <c r="L135" s="41">
        <v>415995.21198460518</v>
      </c>
      <c r="M135" s="42">
        <f>L135/VLOOKUP(C135, exchange_rates[], 2, FALSE)</f>
        <v>8666.5669163459406</v>
      </c>
      <c r="N135" s="39">
        <f>( LN( Data!$M135 ) - LN(100) ) / ( LN(75000) - LN(100) )</f>
        <v>0.67401940936653126</v>
      </c>
      <c r="O135" s="43">
        <f>POWER((Data!$F135*Data!$K135*Data!$N135), 1/3)</f>
        <v>0.66742356287741444</v>
      </c>
    </row>
    <row r="136" spans="2:15" x14ac:dyDescent="0.3">
      <c r="B136" s="38" t="s">
        <v>29</v>
      </c>
      <c r="C136" s="38">
        <v>2021</v>
      </c>
      <c r="D136" s="38" t="s">
        <v>15</v>
      </c>
      <c r="E136" s="38">
        <v>67.55</v>
      </c>
      <c r="F136" s="39">
        <f>(Data!$E136-20)/65</f>
        <v>0.73153846153846147</v>
      </c>
      <c r="G136" s="40">
        <v>12.48</v>
      </c>
      <c r="H136" s="40">
        <f>Data!$G136/18</f>
        <v>0.69333333333333336</v>
      </c>
      <c r="I136" s="40">
        <v>8.1780000000000008</v>
      </c>
      <c r="J136" s="40">
        <f>Data!$I136/15</f>
        <v>0.54520000000000002</v>
      </c>
      <c r="K136" s="39">
        <f>(Data!$H136+Data!$J136)/2</f>
        <v>0.61926666666666663</v>
      </c>
      <c r="L136" s="41">
        <v>474221.1388425015</v>
      </c>
      <c r="M136" s="42">
        <f>L136/VLOOKUP(C136, exchange_rates[], 2, FALSE)</f>
        <v>9879.6070592187807</v>
      </c>
      <c r="N136" s="39">
        <f>( LN( Data!$M136 ) - LN(100) ) / ( LN(75000) - LN(100) )</f>
        <v>0.69380771017727993</v>
      </c>
      <c r="O136" s="43">
        <f>POWER((Data!$F136*Data!$K136*Data!$N136), 1/3)</f>
        <v>0.67990984552368838</v>
      </c>
    </row>
    <row r="137" spans="2:15" x14ac:dyDescent="0.3">
      <c r="B137" s="38" t="s">
        <v>30</v>
      </c>
      <c r="C137" s="38">
        <v>2021</v>
      </c>
      <c r="D137" s="38" t="s">
        <v>15</v>
      </c>
      <c r="E137" s="38">
        <v>68.459999999999994</v>
      </c>
      <c r="F137" s="39">
        <f>(Data!$E137-20)/65</f>
        <v>0.74553846153846148</v>
      </c>
      <c r="G137" s="40">
        <v>12.43</v>
      </c>
      <c r="H137" s="40">
        <f>Data!$G137/18</f>
        <v>0.69055555555555559</v>
      </c>
      <c r="I137" s="40">
        <v>8.1379999999999999</v>
      </c>
      <c r="J137" s="40">
        <f>Data!$I137/15</f>
        <v>0.54253333333333331</v>
      </c>
      <c r="K137" s="39">
        <f>(Data!$H137+Data!$J137)/2</f>
        <v>0.61654444444444445</v>
      </c>
      <c r="L137" s="41">
        <v>437761.2850675995</v>
      </c>
      <c r="M137" s="42">
        <f>L137/VLOOKUP(C137, exchange_rates[], 2, FALSE)</f>
        <v>9120.0267722416556</v>
      </c>
      <c r="N137" s="39">
        <f>( LN( Data!$M137 ) - LN(100) ) / ( LN(75000) - LN(100) )</f>
        <v>0.68172325166689907</v>
      </c>
      <c r="O137" s="43">
        <f>POWER((Data!$F137*Data!$K137*Data!$N137), 1/3)</f>
        <v>0.67922581398226978</v>
      </c>
    </row>
    <row r="138" spans="2:15" x14ac:dyDescent="0.3">
      <c r="B138" s="38" t="s">
        <v>31</v>
      </c>
      <c r="C138" s="38">
        <v>2021</v>
      </c>
      <c r="D138" s="38" t="s">
        <v>15</v>
      </c>
      <c r="E138" s="38">
        <v>65.819999999999993</v>
      </c>
      <c r="F138" s="39">
        <f>(Data!$E138-20)/65</f>
        <v>0.70492307692307676</v>
      </c>
      <c r="G138" s="40">
        <v>12.09</v>
      </c>
      <c r="H138" s="40">
        <f>Data!$G138/18</f>
        <v>0.67166666666666663</v>
      </c>
      <c r="I138" s="40">
        <v>7.7130000000000001</v>
      </c>
      <c r="J138" s="40">
        <f>Data!$I138/15</f>
        <v>0.51419999999999999</v>
      </c>
      <c r="K138" s="39">
        <f>(Data!$H138+Data!$J138)/2</f>
        <v>0.59293333333333331</v>
      </c>
      <c r="L138" s="41">
        <v>389815.57807155937</v>
      </c>
      <c r="M138" s="42">
        <f>L138/VLOOKUP(C138, exchange_rates[], 2, FALSE)</f>
        <v>8121.1578764908199</v>
      </c>
      <c r="N138" s="39">
        <f>( LN( Data!$M138 ) - LN(100) ) / ( LN(75000) - LN(100) )</f>
        <v>0.66420078682684691</v>
      </c>
      <c r="O138" s="43">
        <f>POWER((Data!$F138*Data!$K138*Data!$N138), 1/3)</f>
        <v>0.65235249339743662</v>
      </c>
    </row>
    <row r="139" spans="2:15" x14ac:dyDescent="0.3">
      <c r="B139" s="38" t="s">
        <v>32</v>
      </c>
      <c r="C139" s="38">
        <v>2021</v>
      </c>
      <c r="D139" s="38" t="s">
        <v>15</v>
      </c>
      <c r="E139" s="38">
        <v>68.180000000000007</v>
      </c>
      <c r="F139" s="39">
        <f>(Data!$E139-20)/65</f>
        <v>0.74123076923076936</v>
      </c>
      <c r="G139" s="40">
        <v>12.56</v>
      </c>
      <c r="H139" s="40">
        <f>Data!$G139/18</f>
        <v>0.69777777777777783</v>
      </c>
      <c r="I139" s="40">
        <v>8.0020000000000007</v>
      </c>
      <c r="J139" s="40">
        <f>Data!$I139/15</f>
        <v>0.53346666666666676</v>
      </c>
      <c r="K139" s="39">
        <f>(Data!$H139+Data!$J139)/2</f>
        <v>0.61562222222222229</v>
      </c>
      <c r="L139" s="41">
        <v>450642.23335762566</v>
      </c>
      <c r="M139" s="42">
        <f>L139/VLOOKUP(C139, exchange_rates[], 2, FALSE)</f>
        <v>9388.3798616172007</v>
      </c>
      <c r="N139" s="39">
        <f>( LN( Data!$M139 ) - LN(100) ) / ( LN(75000) - LN(100) )</f>
        <v>0.68610386787691213</v>
      </c>
      <c r="O139" s="43">
        <f>POWER((Data!$F139*Data!$K139*Data!$N139), 1/3)</f>
        <v>0.67902515754067838</v>
      </c>
    </row>
    <row r="140" spans="2:15" x14ac:dyDescent="0.3">
      <c r="B140" s="38" t="s">
        <v>16</v>
      </c>
      <c r="C140" s="38">
        <v>2022</v>
      </c>
      <c r="D140" s="38" t="s">
        <v>14</v>
      </c>
      <c r="E140" s="38">
        <v>73.17</v>
      </c>
      <c r="F140" s="39">
        <f>(Data!$E140-20)/65</f>
        <v>0.81800000000000006</v>
      </c>
      <c r="G140" s="40">
        <v>12.56</v>
      </c>
      <c r="H140" s="40">
        <f>Data!$G140/18</f>
        <v>0.69777777777777783</v>
      </c>
      <c r="I140" s="40">
        <v>6.9290000000000003</v>
      </c>
      <c r="J140" s="40">
        <f>Data!$I140/15</f>
        <v>0.46193333333333336</v>
      </c>
      <c r="K140" s="39">
        <f>(Data!$H140+Data!$J140)/2</f>
        <v>0.57985555555555557</v>
      </c>
      <c r="L140" s="41">
        <v>172766.36705170668</v>
      </c>
      <c r="M140" s="42">
        <f>L140/VLOOKUP(C140, exchange_rates[], 2, FALSE)</f>
        <v>3171.1888225349981</v>
      </c>
      <c r="N140" s="39">
        <f>( LN( Data!$M140 ) - LN(100) ) / ( LN(75000) - LN(100) )</f>
        <v>0.52215308284681639</v>
      </c>
      <c r="O140" s="43">
        <f>POWER((Data!$F140*Data!$K140*Data!$N140), 1/3)</f>
        <v>0.62799616389993052</v>
      </c>
    </row>
    <row r="141" spans="2:15" x14ac:dyDescent="0.3">
      <c r="B141" s="38" t="s">
        <v>17</v>
      </c>
      <c r="C141" s="38">
        <v>2022</v>
      </c>
      <c r="D141" s="38" t="s">
        <v>14</v>
      </c>
      <c r="E141" s="38">
        <v>76.099999999999994</v>
      </c>
      <c r="F141" s="39">
        <f>(Data!$E141-20)/65</f>
        <v>0.86307692307692296</v>
      </c>
      <c r="G141" s="40">
        <v>13.8</v>
      </c>
      <c r="H141" s="40">
        <f>Data!$G141/18</f>
        <v>0.76666666666666672</v>
      </c>
      <c r="I141" s="40">
        <v>10.31</v>
      </c>
      <c r="J141" s="40">
        <f>Data!$I141/15</f>
        <v>0.68733333333333335</v>
      </c>
      <c r="K141" s="39">
        <f>(Data!$H141+Data!$J141)/2</f>
        <v>0.72700000000000009</v>
      </c>
      <c r="L141" s="41">
        <v>369052.97680347349</v>
      </c>
      <c r="M141" s="42">
        <f>L141/VLOOKUP(C141, exchange_rates[], 2, FALSE)</f>
        <v>6774.1001615909236</v>
      </c>
      <c r="N141" s="39">
        <f>( LN( Data!$M141 ) - LN(100) ) / ( LN(75000) - LN(100) )</f>
        <v>0.63680438296405473</v>
      </c>
      <c r="O141" s="43">
        <f>POWER((Data!$F141*Data!$K141*Data!$N141), 1/3)</f>
        <v>0.73654053531170816</v>
      </c>
    </row>
    <row r="142" spans="2:15" x14ac:dyDescent="0.3">
      <c r="B142" s="38" t="s">
        <v>19</v>
      </c>
      <c r="C142" s="38">
        <v>2022</v>
      </c>
      <c r="D142" s="38" t="s">
        <v>14</v>
      </c>
      <c r="E142" s="38">
        <v>71.040000000000006</v>
      </c>
      <c r="F142" s="39">
        <f>(Data!$E142-20)/65</f>
        <v>0.78523076923076929</v>
      </c>
      <c r="G142" s="40">
        <v>13.53</v>
      </c>
      <c r="H142" s="40">
        <f>Data!$G142/18</f>
        <v>0.75166666666666659</v>
      </c>
      <c r="I142" s="40">
        <v>9.6940000000000008</v>
      </c>
      <c r="J142" s="40">
        <f>Data!$I142/15</f>
        <v>0.64626666666666677</v>
      </c>
      <c r="K142" s="39">
        <f>(Data!$H142+Data!$J142)/2</f>
        <v>0.69896666666666674</v>
      </c>
      <c r="L142" s="41">
        <v>372389.44518127316</v>
      </c>
      <c r="M142" s="42">
        <f>L142/VLOOKUP(C142, exchange_rates[], 2, FALSE)</f>
        <v>6835.3422390101541</v>
      </c>
      <c r="N142" s="39">
        <f>( LN( Data!$M142 ) - LN(100) ) / ( LN(75000) - LN(100) )</f>
        <v>0.63816388454647233</v>
      </c>
      <c r="O142" s="43">
        <f>POWER((Data!$F142*Data!$K142*Data!$N142), 1/3)</f>
        <v>0.70490187465978738</v>
      </c>
    </row>
    <row r="143" spans="2:15" x14ac:dyDescent="0.3">
      <c r="B143" s="38" t="s">
        <v>20</v>
      </c>
      <c r="C143" s="38">
        <v>2022</v>
      </c>
      <c r="D143" s="38" t="s">
        <v>14</v>
      </c>
      <c r="E143" s="38">
        <v>76.53</v>
      </c>
      <c r="F143" s="39">
        <f>(Data!$E143-20)/65</f>
        <v>0.86969230769230776</v>
      </c>
      <c r="G143" s="40">
        <v>13.76</v>
      </c>
      <c r="H143" s="40">
        <f>Data!$G143/18</f>
        <v>0.76444444444444448</v>
      </c>
      <c r="I143" s="40">
        <v>8.7040000000000006</v>
      </c>
      <c r="J143" s="40">
        <f>Data!$I143/15</f>
        <v>0.58026666666666671</v>
      </c>
      <c r="K143" s="39">
        <f>(Data!$H143+Data!$J143)/2</f>
        <v>0.6723555555555556</v>
      </c>
      <c r="L143" s="41">
        <v>340678.83556993428</v>
      </c>
      <c r="M143" s="42">
        <f>L143/VLOOKUP(C143, exchange_rates[], 2, FALSE)</f>
        <v>6253.2825912249318</v>
      </c>
      <c r="N143" s="39">
        <f>( LN( Data!$M143 ) - LN(100) ) / ( LN(75000) - LN(100) )</f>
        <v>0.62471992445367364</v>
      </c>
      <c r="O143" s="43">
        <f>POWER((Data!$F143*Data!$K143*Data!$N143), 1/3)</f>
        <v>0.71485286367153489</v>
      </c>
    </row>
    <row r="144" spans="2:15" x14ac:dyDescent="0.3">
      <c r="B144" s="38" t="s">
        <v>21</v>
      </c>
      <c r="C144" s="38">
        <v>2022</v>
      </c>
      <c r="D144" s="38" t="s">
        <v>14</v>
      </c>
      <c r="E144" s="38">
        <v>74.19</v>
      </c>
      <c r="F144" s="39">
        <f>(Data!$E144-20)/65</f>
        <v>0.83369230769230762</v>
      </c>
      <c r="G144" s="40">
        <v>13.26</v>
      </c>
      <c r="H144" s="40">
        <f>Data!$G144/18</f>
        <v>0.73666666666666669</v>
      </c>
      <c r="I144" s="40">
        <v>9.4359999999999999</v>
      </c>
      <c r="J144" s="40">
        <f>Data!$I144/15</f>
        <v>0.62906666666666666</v>
      </c>
      <c r="K144" s="39">
        <f>(Data!$H144+Data!$J144)/2</f>
        <v>0.68286666666666673</v>
      </c>
      <c r="L144" s="41">
        <v>403808.27654321614</v>
      </c>
      <c r="M144" s="42">
        <f>L144/VLOOKUP(C144, exchange_rates[], 2, FALSE)</f>
        <v>7412.0461920560965</v>
      </c>
      <c r="N144" s="39">
        <f>( LN( Data!$M144 ) - LN(100) ) / ( LN(75000) - LN(100) )</f>
        <v>0.65039939878823294</v>
      </c>
      <c r="O144" s="43">
        <f>POWER((Data!$F144*Data!$K144*Data!$N144), 1/3)</f>
        <v>0.71808184439013523</v>
      </c>
    </row>
    <row r="145" spans="2:15" x14ac:dyDescent="0.3">
      <c r="B145" s="38" t="s">
        <v>22</v>
      </c>
      <c r="C145" s="38">
        <v>2022</v>
      </c>
      <c r="D145" s="38" t="s">
        <v>14</v>
      </c>
      <c r="E145" s="38">
        <v>73.62</v>
      </c>
      <c r="F145" s="39">
        <f>(Data!$E145-20)/65</f>
        <v>0.82492307692307698</v>
      </c>
      <c r="G145" s="40">
        <v>13.29</v>
      </c>
      <c r="H145" s="40">
        <f>Data!$G145/18</f>
        <v>0.73833333333333329</v>
      </c>
      <c r="I145" s="40">
        <v>9.65</v>
      </c>
      <c r="J145" s="40">
        <f>Data!$I145/15</f>
        <v>0.64333333333333331</v>
      </c>
      <c r="K145" s="39">
        <f>(Data!$H145+Data!$J145)/2</f>
        <v>0.6908333333333333</v>
      </c>
      <c r="L145" s="41">
        <v>400190.30733701412</v>
      </c>
      <c r="M145" s="42">
        <f>L145/VLOOKUP(C145, exchange_rates[], 2, FALSE)</f>
        <v>7345.6370656573818</v>
      </c>
      <c r="N145" s="39">
        <f>( LN( Data!$M145 ) - LN(100) ) / ( LN(75000) - LN(100) )</f>
        <v>0.64903989720581501</v>
      </c>
      <c r="O145" s="43">
        <f>POWER((Data!$F145*Data!$K145*Data!$N145), 1/3)</f>
        <v>0.7178263183330984</v>
      </c>
    </row>
    <row r="146" spans="2:15" x14ac:dyDescent="0.3">
      <c r="B146" s="38" t="s">
        <v>23</v>
      </c>
      <c r="C146" s="38">
        <v>2022</v>
      </c>
      <c r="D146" s="38" t="s">
        <v>14</v>
      </c>
      <c r="E146" s="38">
        <v>73.42</v>
      </c>
      <c r="F146" s="39">
        <f>(Data!$E146-20)/65</f>
        <v>0.82184615384615389</v>
      </c>
      <c r="G146" s="40">
        <v>13.46</v>
      </c>
      <c r="H146" s="40">
        <f>Data!$G146/18</f>
        <v>0.74777777777777787</v>
      </c>
      <c r="I146" s="40">
        <v>8.7129999999999992</v>
      </c>
      <c r="J146" s="40">
        <f>Data!$I146/15</f>
        <v>0.58086666666666664</v>
      </c>
      <c r="K146" s="39">
        <f>(Data!$H146+Data!$J146)/2</f>
        <v>0.66432222222222226</v>
      </c>
      <c r="L146" s="41">
        <v>288282.29825008428</v>
      </c>
      <c r="M146" s="42">
        <f>L146/VLOOKUP(C146, exchange_rates[], 2, FALSE)</f>
        <v>5291.5252982761431</v>
      </c>
      <c r="N146" s="39">
        <f>( LN( Data!$M146 ) - LN(100) ) / ( LN(75000) - LN(100) )</f>
        <v>0.59949361731325357</v>
      </c>
      <c r="O146" s="43">
        <f>POWER((Data!$F146*Data!$K146*Data!$N146), 1/3)</f>
        <v>0.68915665912192126</v>
      </c>
    </row>
    <row r="147" spans="2:15" x14ac:dyDescent="0.3">
      <c r="B147" s="38" t="s">
        <v>24</v>
      </c>
      <c r="C147" s="38">
        <v>2022</v>
      </c>
      <c r="D147" s="38" t="s">
        <v>14</v>
      </c>
      <c r="E147" s="38">
        <v>72.06</v>
      </c>
      <c r="F147" s="39">
        <f>(Data!$E147-20)/65</f>
        <v>0.80092307692307696</v>
      </c>
      <c r="G147" s="40">
        <v>13.27</v>
      </c>
      <c r="H147" s="40">
        <f>Data!$G147/18</f>
        <v>0.73722222222222222</v>
      </c>
      <c r="I147" s="40">
        <v>7.9279999999999999</v>
      </c>
      <c r="J147" s="40">
        <f>Data!$I147/15</f>
        <v>0.5285333333333333</v>
      </c>
      <c r="K147" s="39">
        <f>(Data!$H147+Data!$J147)/2</f>
        <v>0.63287777777777776</v>
      </c>
      <c r="L147" s="41">
        <v>273127.90509825695</v>
      </c>
      <c r="M147" s="42">
        <f>L147/VLOOKUP(C147, exchange_rates[], 2, FALSE)</f>
        <v>5013.360959953322</v>
      </c>
      <c r="N147" s="39">
        <f>( LN( Data!$M147 ) - LN(100) ) / ( LN(75000) - LN(100) )</f>
        <v>0.59133660781874653</v>
      </c>
      <c r="O147" s="43">
        <f>POWER((Data!$F147*Data!$K147*Data!$N147), 1/3)</f>
        <v>0.66923987042478872</v>
      </c>
    </row>
    <row r="148" spans="2:15" x14ac:dyDescent="0.3">
      <c r="B148" s="38" t="s">
        <v>18</v>
      </c>
      <c r="C148" s="38">
        <v>2022</v>
      </c>
      <c r="D148" s="38" t="s">
        <v>14</v>
      </c>
      <c r="E148" s="38">
        <v>76.709999999999994</v>
      </c>
      <c r="F148" s="39">
        <f>(Data!$E148-20)/65</f>
        <v>0.8724615384615384</v>
      </c>
      <c r="G148" s="40">
        <v>13.15</v>
      </c>
      <c r="H148" s="40">
        <f>Data!$G148/18</f>
        <v>0.73055555555555562</v>
      </c>
      <c r="I148" s="40">
        <v>10.39</v>
      </c>
      <c r="J148" s="40">
        <f>Data!$I148/15</f>
        <v>0.69266666666666665</v>
      </c>
      <c r="K148" s="39">
        <f>(Data!$H148+Data!$J148)/2</f>
        <v>0.71161111111111119</v>
      </c>
      <c r="L148" s="41">
        <v>397796.35453325737</v>
      </c>
      <c r="M148" s="42">
        <f>L148/VLOOKUP(C148, exchange_rates[], 2, FALSE)</f>
        <v>7301.6952006838728</v>
      </c>
      <c r="N148" s="39">
        <f>( LN( Data!$M148 ) - LN(100) ) / ( LN(75000) - LN(100) )</f>
        <v>0.64813356281753665</v>
      </c>
      <c r="O148" s="43">
        <f>POWER((Data!$F148*Data!$K148*Data!$N148), 1/3)</f>
        <v>0.73827445364377953</v>
      </c>
    </row>
    <row r="149" spans="2:15" x14ac:dyDescent="0.3">
      <c r="B149" s="38" t="s">
        <v>25</v>
      </c>
      <c r="C149" s="38">
        <v>2022</v>
      </c>
      <c r="D149" s="38" t="s">
        <v>14</v>
      </c>
      <c r="E149" s="38">
        <v>73.66</v>
      </c>
      <c r="F149" s="39">
        <f>(Data!$E149-20)/65</f>
        <v>0.82553846153846144</v>
      </c>
      <c r="G149" s="40">
        <v>12.27</v>
      </c>
      <c r="H149" s="40">
        <f>Data!$G149/18</f>
        <v>0.68166666666666664</v>
      </c>
      <c r="I149" s="40">
        <v>8.5440000000000005</v>
      </c>
      <c r="J149" s="40">
        <f>Data!$I149/15</f>
        <v>0.5696</v>
      </c>
      <c r="K149" s="39">
        <f>(Data!$H149+Data!$J149)/2</f>
        <v>0.62563333333333326</v>
      </c>
      <c r="L149" s="41">
        <v>296764.88797045173</v>
      </c>
      <c r="M149" s="42">
        <f>L149/VLOOKUP(C149, exchange_rates[], 2, FALSE)</f>
        <v>5447.2262843328144</v>
      </c>
      <c r="N149" s="39">
        <f>( LN( Data!$M149 ) - LN(100) ) / ( LN(75000) - LN(100) )</f>
        <v>0.60387423352326663</v>
      </c>
      <c r="O149" s="43">
        <f>POWER((Data!$F149*Data!$K149*Data!$N149), 1/3)</f>
        <v>0.6781637373020204</v>
      </c>
    </row>
    <row r="150" spans="2:15" x14ac:dyDescent="0.3">
      <c r="B150" s="38" t="s">
        <v>26</v>
      </c>
      <c r="C150" s="38">
        <v>2022</v>
      </c>
      <c r="D150" s="38" t="s">
        <v>14</v>
      </c>
      <c r="E150" s="38">
        <v>74.510000000000005</v>
      </c>
      <c r="F150" s="39">
        <f>(Data!$E150-20)/65</f>
        <v>0.83861538461538465</v>
      </c>
      <c r="G150" s="40">
        <v>13.41</v>
      </c>
      <c r="H150" s="40">
        <f>Data!$G150/18</f>
        <v>0.745</v>
      </c>
      <c r="I150" s="40">
        <v>9.3550000000000004</v>
      </c>
      <c r="J150" s="40">
        <f>Data!$I150/15</f>
        <v>0.6236666666666667</v>
      </c>
      <c r="K150" s="39">
        <f>(Data!$H150+Data!$J150)/2</f>
        <v>0.68433333333333335</v>
      </c>
      <c r="L150" s="41">
        <v>315115.80377846456</v>
      </c>
      <c r="M150" s="42">
        <f>L150/VLOOKUP(C150, exchange_rates[], 2, FALSE)</f>
        <v>5784.0639460070588</v>
      </c>
      <c r="N150" s="39">
        <f>( LN( Data!$M150 ) - LN(100) ) / ( LN(75000) - LN(100) )</f>
        <v>0.61293757740605204</v>
      </c>
      <c r="O150" s="43">
        <f>POWER((Data!$F150*Data!$K150*Data!$N150), 1/3)</f>
        <v>0.70590933082405827</v>
      </c>
    </row>
    <row r="151" spans="2:15" x14ac:dyDescent="0.3">
      <c r="B151" s="38" t="s">
        <v>27</v>
      </c>
      <c r="C151" s="38">
        <v>2022</v>
      </c>
      <c r="D151" s="38" t="s">
        <v>14</v>
      </c>
      <c r="E151" s="38">
        <v>73.48</v>
      </c>
      <c r="F151" s="39">
        <f>(Data!$E151-20)/65</f>
        <v>0.82276923076923081</v>
      </c>
      <c r="G151" s="40">
        <v>13.16</v>
      </c>
      <c r="H151" s="40">
        <f>Data!$G151/18</f>
        <v>0.73111111111111116</v>
      </c>
      <c r="I151" s="40">
        <v>8.6059999999999999</v>
      </c>
      <c r="J151" s="40">
        <f>Data!$I151/15</f>
        <v>0.57373333333333332</v>
      </c>
      <c r="K151" s="39">
        <f>(Data!$H151+Data!$J151)/2</f>
        <v>0.65242222222222224</v>
      </c>
      <c r="L151" s="41">
        <v>300047.32202763093</v>
      </c>
      <c r="M151" s="42">
        <f>L151/VLOOKUP(C151, exchange_rates[], 2, FALSE)</f>
        <v>5507.4765423573963</v>
      </c>
      <c r="N151" s="39">
        <f>( LN( Data!$M151 ) - LN(100) ) / ( LN(75000) - LN(100) )</f>
        <v>0.60553584656844395</v>
      </c>
      <c r="O151" s="43">
        <f>POWER((Data!$F151*Data!$K151*Data!$N151), 1/3)</f>
        <v>0.6875678293391505</v>
      </c>
    </row>
    <row r="152" spans="2:15" x14ac:dyDescent="0.3">
      <c r="B152" s="38" t="s">
        <v>28</v>
      </c>
      <c r="C152" s="38">
        <v>2022</v>
      </c>
      <c r="D152" s="38" t="s">
        <v>14</v>
      </c>
      <c r="E152" s="38">
        <v>73.34</v>
      </c>
      <c r="F152" s="39">
        <f>(Data!$E152-20)/65</f>
        <v>0.82061538461538464</v>
      </c>
      <c r="G152" s="40">
        <v>13.67</v>
      </c>
      <c r="H152" s="40">
        <f>Data!$G152/18</f>
        <v>0.75944444444444448</v>
      </c>
      <c r="I152" s="40">
        <v>8.8650000000000002</v>
      </c>
      <c r="J152" s="40">
        <f>Data!$I152/15</f>
        <v>0.59099999999999997</v>
      </c>
      <c r="K152" s="39">
        <f>(Data!$H152+Data!$J152)/2</f>
        <v>0.67522222222222217</v>
      </c>
      <c r="L152" s="41">
        <v>297954.32481009729</v>
      </c>
      <c r="M152" s="42">
        <f>L152/VLOOKUP(C152, exchange_rates[], 2, FALSE)</f>
        <v>5469.0588254423146</v>
      </c>
      <c r="N152" s="39">
        <f>( LN( Data!$M152 ) - LN(100) ) / ( LN(75000) - LN(100) )</f>
        <v>0.60447845644878562</v>
      </c>
      <c r="O152" s="43">
        <f>POWER((Data!$F152*Data!$K152*Data!$N152), 1/3)</f>
        <v>0.69447359256717267</v>
      </c>
    </row>
    <row r="153" spans="2:15" x14ac:dyDescent="0.3">
      <c r="B153" s="38" t="s">
        <v>29</v>
      </c>
      <c r="C153" s="38">
        <v>2022</v>
      </c>
      <c r="D153" s="38" t="s">
        <v>14</v>
      </c>
      <c r="E153" s="38">
        <v>74.959999999999994</v>
      </c>
      <c r="F153" s="39">
        <f>(Data!$E153-20)/65</f>
        <v>0.84553846153846146</v>
      </c>
      <c r="G153" s="40">
        <v>13.56</v>
      </c>
      <c r="H153" s="40">
        <f>Data!$G153/18</f>
        <v>0.75333333333333341</v>
      </c>
      <c r="I153" s="40">
        <v>9.0069999999999997</v>
      </c>
      <c r="J153" s="40">
        <f>Data!$I153/15</f>
        <v>0.60046666666666659</v>
      </c>
      <c r="K153" s="39">
        <f>(Data!$H153+Data!$J153)/2</f>
        <v>0.67690000000000006</v>
      </c>
      <c r="L153" s="41">
        <v>347213.61728522449</v>
      </c>
      <c r="M153" s="42">
        <f>L153/VLOOKUP(C153, exchange_rates[], 2, FALSE)</f>
        <v>6373.2308605951639</v>
      </c>
      <c r="N153" s="39">
        <f>( LN( Data!$M153 ) - LN(100) ) / ( LN(75000) - LN(100) )</f>
        <v>0.62758998334988902</v>
      </c>
      <c r="O153" s="43">
        <f>POWER((Data!$F153*Data!$K153*Data!$N153), 1/3)</f>
        <v>0.71084998999028193</v>
      </c>
    </row>
    <row r="154" spans="2:15" x14ac:dyDescent="0.3">
      <c r="B154" s="38" t="s">
        <v>30</v>
      </c>
      <c r="C154" s="38">
        <v>2022</v>
      </c>
      <c r="D154" s="38" t="s">
        <v>14</v>
      </c>
      <c r="E154" s="38">
        <v>76.09</v>
      </c>
      <c r="F154" s="39">
        <f>(Data!$E154-20)/65</f>
        <v>0.86292307692307701</v>
      </c>
      <c r="G154" s="40">
        <v>13.05</v>
      </c>
      <c r="H154" s="40">
        <f>Data!$G154/18</f>
        <v>0.72500000000000009</v>
      </c>
      <c r="I154" s="40">
        <v>8.9719999999999995</v>
      </c>
      <c r="J154" s="40">
        <f>Data!$I154/15</f>
        <v>0.59813333333333329</v>
      </c>
      <c r="K154" s="39">
        <f>(Data!$H154+Data!$J154)/2</f>
        <v>0.66156666666666664</v>
      </c>
      <c r="L154" s="41">
        <v>325688.10891868989</v>
      </c>
      <c r="M154" s="42">
        <f>L154/VLOOKUP(C154, exchange_rates[], 2, FALSE)</f>
        <v>5978.1224104017974</v>
      </c>
      <c r="N154" s="39">
        <f>( LN( Data!$M154 ) - LN(100) ) / ( LN(75000) - LN(100) )</f>
        <v>0.61792241654158464</v>
      </c>
      <c r="O154" s="43">
        <f>POWER((Data!$F154*Data!$K154*Data!$N154), 1/3)</f>
        <v>0.70657762877679442</v>
      </c>
    </row>
    <row r="155" spans="2:15" x14ac:dyDescent="0.3">
      <c r="B155" s="38" t="s">
        <v>31</v>
      </c>
      <c r="C155" s="38">
        <v>2022</v>
      </c>
      <c r="D155" s="38" t="s">
        <v>14</v>
      </c>
      <c r="E155" s="38">
        <v>72.91</v>
      </c>
      <c r="F155" s="39">
        <f>(Data!$E155-20)/65</f>
        <v>0.81399999999999995</v>
      </c>
      <c r="G155" s="40">
        <v>13.29</v>
      </c>
      <c r="H155" s="40">
        <f>Data!$G155/18</f>
        <v>0.73833333333333329</v>
      </c>
      <c r="I155" s="40">
        <v>8.49</v>
      </c>
      <c r="J155" s="40">
        <f>Data!$I155/15</f>
        <v>0.56600000000000006</v>
      </c>
      <c r="K155" s="39">
        <f>(Data!$H155+Data!$J155)/2</f>
        <v>0.65216666666666667</v>
      </c>
      <c r="L155" s="41">
        <v>286557.78317933809</v>
      </c>
      <c r="M155" s="42">
        <f>L155/VLOOKUP(C155, exchange_rates[], 2, FALSE)</f>
        <v>5259.8712037323439</v>
      </c>
      <c r="N155" s="39">
        <f>( LN( Data!$M155 ) - LN(100) ) / ( LN(75000) - LN(100) )</f>
        <v>0.59858728292497532</v>
      </c>
      <c r="O155" s="43">
        <f>POWER((Data!$F155*Data!$K155*Data!$N155), 1/3)</f>
        <v>0.68239656092862688</v>
      </c>
    </row>
    <row r="156" spans="2:15" x14ac:dyDescent="0.3">
      <c r="B156" s="38" t="s">
        <v>32</v>
      </c>
      <c r="C156" s="38">
        <v>2022</v>
      </c>
      <c r="D156" s="38" t="s">
        <v>14</v>
      </c>
      <c r="E156" s="38">
        <v>75.81</v>
      </c>
      <c r="F156" s="39">
        <f>(Data!$E156-20)/65</f>
        <v>0.85861538461538467</v>
      </c>
      <c r="G156" s="40">
        <v>13.53</v>
      </c>
      <c r="H156" s="40">
        <f>Data!$G156/18</f>
        <v>0.75166666666666659</v>
      </c>
      <c r="I156" s="40">
        <v>9.0519999999999996</v>
      </c>
      <c r="J156" s="40">
        <f>Data!$I156/15</f>
        <v>0.6034666666666666</v>
      </c>
      <c r="K156" s="39">
        <f>(Data!$H156+Data!$J156)/2</f>
        <v>0.67756666666666665</v>
      </c>
      <c r="L156" s="41">
        <v>320839.24468254397</v>
      </c>
      <c r="M156" s="42">
        <f>L156/VLOOKUP(C156, exchange_rates[], 2, FALSE)</f>
        <v>5889.1197628954478</v>
      </c>
      <c r="N156" s="39">
        <f>( LN( Data!$M156 ) - LN(100) ) / ( LN(75000) - LN(100) )</f>
        <v>0.61565658057088812</v>
      </c>
      <c r="O156" s="43">
        <f>POWER((Data!$F156*Data!$K156*Data!$N156), 1/3)</f>
        <v>0.71017123044147157</v>
      </c>
    </row>
    <row r="157" spans="2:15" x14ac:dyDescent="0.3">
      <c r="B157" s="38" t="s">
        <v>16</v>
      </c>
      <c r="C157" s="38">
        <v>2022</v>
      </c>
      <c r="D157" s="38" t="s">
        <v>15</v>
      </c>
      <c r="E157" s="38">
        <v>69.41</v>
      </c>
      <c r="F157" s="39">
        <f>(Data!$E157-20)/65</f>
        <v>0.76015384615384607</v>
      </c>
      <c r="G157" s="40">
        <v>11.05</v>
      </c>
      <c r="H157" s="40">
        <f>Data!$G157/18</f>
        <v>0.61388888888888893</v>
      </c>
      <c r="I157" s="40">
        <v>6.3780000000000001</v>
      </c>
      <c r="J157" s="40">
        <f>Data!$I157/15</f>
        <v>0.42520000000000002</v>
      </c>
      <c r="K157" s="39">
        <f>(Data!$H157+Data!$J157)/2</f>
        <v>0.51954444444444448</v>
      </c>
      <c r="L157" s="41">
        <v>315115.80377846456</v>
      </c>
      <c r="M157" s="42">
        <f>L157/VLOOKUP(C157, exchange_rates[], 2, FALSE)</f>
        <v>5784.0639460070588</v>
      </c>
      <c r="N157" s="39">
        <f>( LN( Data!$M157 ) - LN(100) ) / ( LN(75000) - LN(100) )</f>
        <v>0.61293757740605204</v>
      </c>
      <c r="O157" s="43">
        <f>POWER((Data!$F157*Data!$K157*Data!$N157), 1/3)</f>
        <v>0.62322779885926705</v>
      </c>
    </row>
    <row r="158" spans="2:15" x14ac:dyDescent="0.3">
      <c r="B158" s="38" t="s">
        <v>17</v>
      </c>
      <c r="C158" s="38">
        <v>2022</v>
      </c>
      <c r="D158" s="38" t="s">
        <v>15</v>
      </c>
      <c r="E158" s="38">
        <v>71.760000000000005</v>
      </c>
      <c r="F158" s="39">
        <f>(Data!$E158-20)/65</f>
        <v>0.79630769230769238</v>
      </c>
      <c r="G158" s="40">
        <v>13.2</v>
      </c>
      <c r="H158" s="40">
        <f>Data!$G158/18</f>
        <v>0.73333333333333328</v>
      </c>
      <c r="I158" s="40">
        <v>9.2550000000000008</v>
      </c>
      <c r="J158" s="40">
        <f>Data!$I158/15</f>
        <v>0.6170000000000001</v>
      </c>
      <c r="K158" s="39">
        <f>(Data!$H158+Data!$J158)/2</f>
        <v>0.67516666666666669</v>
      </c>
      <c r="L158" s="41">
        <v>712614.21589675802</v>
      </c>
      <c r="M158" s="42">
        <f>L158/VLOOKUP(C158, exchange_rates[], 2, FALSE)</f>
        <v>13080.290306475001</v>
      </c>
      <c r="N158" s="39">
        <f>( LN( Data!$M158 ) - LN(100) ) / ( LN(75000) - LN(100) )</f>
        <v>0.73619905421193688</v>
      </c>
      <c r="O158" s="43">
        <f>POWER((Data!$F158*Data!$K158*Data!$N158), 1/3)</f>
        <v>0.7342248056892392</v>
      </c>
    </row>
    <row r="159" spans="2:15" x14ac:dyDescent="0.3">
      <c r="B159" s="38" t="s">
        <v>19</v>
      </c>
      <c r="C159" s="38">
        <v>2022</v>
      </c>
      <c r="D159" s="38" t="s">
        <v>15</v>
      </c>
      <c r="E159" s="38">
        <v>67.69</v>
      </c>
      <c r="F159" s="39">
        <f>(Data!$E159-20)/65</f>
        <v>0.73369230769230764</v>
      </c>
      <c r="G159" s="40">
        <v>12.53</v>
      </c>
      <c r="H159" s="40">
        <f>Data!$G159/18</f>
        <v>0.69611111111111112</v>
      </c>
      <c r="I159" s="40">
        <v>8.9689999999999994</v>
      </c>
      <c r="J159" s="40">
        <f>Data!$I159/15</f>
        <v>0.59793333333333332</v>
      </c>
      <c r="K159" s="39">
        <f>(Data!$H159+Data!$J159)/2</f>
        <v>0.64702222222222217</v>
      </c>
      <c r="L159" s="41">
        <v>719056.69149336219</v>
      </c>
      <c r="M159" s="42">
        <f>L159/VLOOKUP(C159, exchange_rates[], 2, FALSE)</f>
        <v>13198.544263828235</v>
      </c>
      <c r="N159" s="39">
        <f>( LN( Data!$M159 ) - LN(100) ) / ( LN(75000) - LN(100) )</f>
        <v>0.73755855579435481</v>
      </c>
      <c r="O159" s="43">
        <f>POWER((Data!$F159*Data!$K159*Data!$N159), 1/3)</f>
        <v>0.70481730087872785</v>
      </c>
    </row>
    <row r="160" spans="2:15" x14ac:dyDescent="0.3">
      <c r="B160" s="38" t="s">
        <v>20</v>
      </c>
      <c r="C160" s="38">
        <v>2022</v>
      </c>
      <c r="D160" s="38" t="s">
        <v>15</v>
      </c>
      <c r="E160" s="38">
        <v>72.11</v>
      </c>
      <c r="F160" s="39">
        <f>(Data!$E160-20)/65</f>
        <v>0.8016923076923077</v>
      </c>
      <c r="G160" s="40">
        <v>13.08</v>
      </c>
      <c r="H160" s="40">
        <f>Data!$G160/18</f>
        <v>0.72666666666666668</v>
      </c>
      <c r="I160" s="40">
        <v>8.0589999999999993</v>
      </c>
      <c r="J160" s="40">
        <f>Data!$I160/15</f>
        <v>0.53726666666666667</v>
      </c>
      <c r="K160" s="39">
        <f>(Data!$H160+Data!$J160)/2</f>
        <v>0.63196666666666668</v>
      </c>
      <c r="L160" s="41">
        <v>653237.12973513652</v>
      </c>
      <c r="M160" s="42">
        <f>L160/VLOOKUP(C160, exchange_rates[], 2, FALSE)</f>
        <v>11990.402528177983</v>
      </c>
      <c r="N160" s="39">
        <f>( LN( Data!$M160 ) - LN(100) ) / ( LN(75000) - LN(100) )</f>
        <v>0.72305720558189801</v>
      </c>
      <c r="O160" s="43">
        <f>POWER((Data!$F160*Data!$K160*Data!$N160), 1/3)</f>
        <v>0.71552506027939133</v>
      </c>
    </row>
    <row r="161" spans="2:15" x14ac:dyDescent="0.3">
      <c r="B161" s="38" t="s">
        <v>21</v>
      </c>
      <c r="C161" s="38">
        <v>2022</v>
      </c>
      <c r="D161" s="38" t="s">
        <v>15</v>
      </c>
      <c r="E161" s="38">
        <v>70.23</v>
      </c>
      <c r="F161" s="39">
        <f>(Data!$E161-20)/65</f>
        <v>0.77276923076923087</v>
      </c>
      <c r="G161" s="40">
        <v>12.58</v>
      </c>
      <c r="H161" s="40">
        <f>Data!$G161/18</f>
        <v>0.69888888888888889</v>
      </c>
      <c r="I161" s="40">
        <v>9.1170000000000009</v>
      </c>
      <c r="J161" s="40">
        <f>Data!$I161/15</f>
        <v>0.60780000000000001</v>
      </c>
      <c r="K161" s="39">
        <f>(Data!$H161+Data!$J161)/2</f>
        <v>0.65334444444444451</v>
      </c>
      <c r="L161" s="41">
        <v>784416.55727931857</v>
      </c>
      <c r="M161" s="42">
        <f>L161/VLOOKUP(C161, exchange_rates[], 2, FALSE)</f>
        <v>14398.248114524939</v>
      </c>
      <c r="N161" s="39">
        <f>( LN( Data!$M161 ) - LN(100) ) / ( LN(75000) - LN(100) )</f>
        <v>0.7507004044243939</v>
      </c>
      <c r="O161" s="43">
        <f>POWER((Data!$F161*Data!$K161*Data!$N161), 1/3)</f>
        <v>0.72369053280072504</v>
      </c>
    </row>
    <row r="162" spans="2:15" x14ac:dyDescent="0.3">
      <c r="B162" s="38" t="s">
        <v>22</v>
      </c>
      <c r="C162" s="38">
        <v>2022</v>
      </c>
      <c r="D162" s="38" t="s">
        <v>15</v>
      </c>
      <c r="E162" s="38">
        <v>69.78</v>
      </c>
      <c r="F162" s="39">
        <f>(Data!$E162-20)/65</f>
        <v>0.76584615384615384</v>
      </c>
      <c r="G162" s="40">
        <v>12.36</v>
      </c>
      <c r="H162" s="40">
        <f>Data!$G162/18</f>
        <v>0.68666666666666665</v>
      </c>
      <c r="I162" s="40">
        <v>9.3249999999999993</v>
      </c>
      <c r="J162" s="40">
        <f>Data!$I162/15</f>
        <v>0.62166666666666659</v>
      </c>
      <c r="K162" s="39">
        <f>(Data!$H162+Data!$J162)/2</f>
        <v>0.65416666666666656</v>
      </c>
      <c r="L162" s="41">
        <v>777388.48204181704</v>
      </c>
      <c r="M162" s="42">
        <f>L162/VLOOKUP(C162, exchange_rates[], 2, FALSE)</f>
        <v>14269.245265084748</v>
      </c>
      <c r="N162" s="39">
        <f>( LN( Data!$M162 ) - LN(100) ) / ( LN(75000) - LN(100) )</f>
        <v>0.74934090284197596</v>
      </c>
      <c r="O162" s="43">
        <f>POWER((Data!$F162*Data!$K162*Data!$N162), 1/3)</f>
        <v>0.72138946416411165</v>
      </c>
    </row>
    <row r="163" spans="2:15" x14ac:dyDescent="0.3">
      <c r="B163" s="38" t="s">
        <v>23</v>
      </c>
      <c r="C163" s="38">
        <v>2022</v>
      </c>
      <c r="D163" s="38" t="s">
        <v>15</v>
      </c>
      <c r="E163" s="38">
        <v>69.61</v>
      </c>
      <c r="F163" s="39">
        <f>(Data!$E163-20)/65</f>
        <v>0.76323076923076927</v>
      </c>
      <c r="G163" s="40">
        <v>13.05</v>
      </c>
      <c r="H163" s="40">
        <f>Data!$G163/18</f>
        <v>0.72500000000000009</v>
      </c>
      <c r="I163" s="40">
        <v>7.8250000000000002</v>
      </c>
      <c r="J163" s="40">
        <f>Data!$I163/15</f>
        <v>0.52166666666666672</v>
      </c>
      <c r="K163" s="39">
        <f>(Data!$H163+Data!$J163)/2</f>
        <v>0.62333333333333341</v>
      </c>
      <c r="L163" s="41">
        <v>546175.41787673405</v>
      </c>
      <c r="M163" s="42">
        <f>L163/VLOOKUP(C163, exchange_rates[], 2, FALSE)</f>
        <v>10025.246289954737</v>
      </c>
      <c r="N163" s="39">
        <f>( LN( Data!$M163 ) - LN(100) ) / ( LN(75000) - LN(100) )</f>
        <v>0.69601822966492055</v>
      </c>
      <c r="O163" s="43">
        <f>POWER((Data!$F163*Data!$K163*Data!$N163), 1/3)</f>
        <v>0.69182929122673464</v>
      </c>
    </row>
    <row r="164" spans="2:15" x14ac:dyDescent="0.3">
      <c r="B164" s="38" t="s">
        <v>24</v>
      </c>
      <c r="C164" s="38">
        <v>2022</v>
      </c>
      <c r="D164" s="38" t="s">
        <v>15</v>
      </c>
      <c r="E164" s="38">
        <v>68.510000000000005</v>
      </c>
      <c r="F164" s="39">
        <f>(Data!$E164-20)/65</f>
        <v>0.74630769230769234</v>
      </c>
      <c r="G164" s="40">
        <v>12.62</v>
      </c>
      <c r="H164" s="40">
        <f>Data!$G164/18</f>
        <v>0.70111111111111102</v>
      </c>
      <c r="I164" s="40">
        <v>7.2009999999999996</v>
      </c>
      <c r="J164" s="40">
        <f>Data!$I164/15</f>
        <v>0.48006666666666664</v>
      </c>
      <c r="K164" s="39">
        <f>(Data!$H164+Data!$J164)/2</f>
        <v>0.59058888888888883</v>
      </c>
      <c r="L164" s="41">
        <v>515398.4043706517</v>
      </c>
      <c r="M164" s="42">
        <f>L164/VLOOKUP(C164, exchange_rates[], 2, FALSE)</f>
        <v>9460.3231345567492</v>
      </c>
      <c r="N164" s="39">
        <f>( LN( Data!$M164 ) - LN(100) ) / ( LN(75000) - LN(100) )</f>
        <v>0.68725699724489442</v>
      </c>
      <c r="O164" s="43">
        <f>POWER((Data!$F164*Data!$K164*Data!$N164), 1/3)</f>
        <v>0.67159499886266971</v>
      </c>
    </row>
    <row r="165" spans="2:15" x14ac:dyDescent="0.3">
      <c r="B165" s="38" t="s">
        <v>18</v>
      </c>
      <c r="C165" s="38">
        <v>2022</v>
      </c>
      <c r="D165" s="38" t="s">
        <v>15</v>
      </c>
      <c r="E165" s="38">
        <v>72.25</v>
      </c>
      <c r="F165" s="39">
        <f>(Data!$E165-20)/65</f>
        <v>0.80384615384615388</v>
      </c>
      <c r="G165" s="40">
        <v>12.4</v>
      </c>
      <c r="H165" s="40">
        <f>Data!$G165/18</f>
        <v>0.68888888888888888</v>
      </c>
      <c r="I165" s="40">
        <v>10.1</v>
      </c>
      <c r="J165" s="40">
        <f>Data!$I165/15</f>
        <v>0.67333333333333334</v>
      </c>
      <c r="K165" s="39">
        <f>(Data!$H165+Data!$J165)/2</f>
        <v>0.68111111111111111</v>
      </c>
      <c r="L165" s="41">
        <v>771965.76432228892</v>
      </c>
      <c r="M165" s="42">
        <f>L165/VLOOKUP(C165, exchange_rates[], 2, FALSE)</f>
        <v>14169.709330438491</v>
      </c>
      <c r="N165" s="39">
        <f>( LN( Data!$M165 ) - LN(100) ) / ( LN(75000) - LN(100) )</f>
        <v>0.74828351272231797</v>
      </c>
      <c r="O165" s="43">
        <f>POWER((Data!$F165*Data!$K165*Data!$N165), 1/3)</f>
        <v>0.74270958122972008</v>
      </c>
    </row>
    <row r="166" spans="2:15" x14ac:dyDescent="0.3">
      <c r="B166" s="38" t="s">
        <v>25</v>
      </c>
      <c r="C166" s="38">
        <v>2022</v>
      </c>
      <c r="D166" s="38" t="s">
        <v>15</v>
      </c>
      <c r="E166" s="38">
        <v>69.8</v>
      </c>
      <c r="F166" s="39">
        <f>(Data!$E166-20)/65</f>
        <v>0.76615384615384607</v>
      </c>
      <c r="G166" s="40">
        <v>11.27</v>
      </c>
      <c r="H166" s="40">
        <f>Data!$G166/18</f>
        <v>0.62611111111111106</v>
      </c>
      <c r="I166" s="40">
        <v>7.86</v>
      </c>
      <c r="J166" s="40">
        <f>Data!$I166/15</f>
        <v>0.52400000000000002</v>
      </c>
      <c r="K166" s="39">
        <f>(Data!$H166+Data!$J166)/2</f>
        <v>0.57505555555555554</v>
      </c>
      <c r="L166" s="41">
        <v>563935.67992506607</v>
      </c>
      <c r="M166" s="42">
        <f>L166/VLOOKUP(C166, exchange_rates[], 2, FALSE)</f>
        <v>10351.24228937346</v>
      </c>
      <c r="N166" s="39">
        <f>( LN( Data!$M166 ) - LN(100) ) / ( LN(75000) - LN(100) )</f>
        <v>0.70085201306907319</v>
      </c>
      <c r="O166" s="43">
        <f>POWER((Data!$F166*Data!$K166*Data!$N166), 1/3)</f>
        <v>0.67590247733932041</v>
      </c>
    </row>
    <row r="167" spans="2:15" x14ac:dyDescent="0.3">
      <c r="B167" s="38" t="s">
        <v>26</v>
      </c>
      <c r="C167" s="38">
        <v>2022</v>
      </c>
      <c r="D167" s="38" t="s">
        <v>15</v>
      </c>
      <c r="E167" s="38">
        <v>70.489999999999995</v>
      </c>
      <c r="F167" s="39">
        <f>(Data!$E167-20)/65</f>
        <v>0.77676923076923066</v>
      </c>
      <c r="G167" s="40">
        <v>12.97</v>
      </c>
      <c r="H167" s="40">
        <f>Data!$G167/18</f>
        <v>0.72055555555555562</v>
      </c>
      <c r="I167" s="40">
        <v>8.8829999999999991</v>
      </c>
      <c r="J167" s="40">
        <f>Data!$I167/15</f>
        <v>0.59219999999999995</v>
      </c>
      <c r="K167" s="39">
        <f>(Data!$H167+Data!$J167)/2</f>
        <v>0.65637777777777773</v>
      </c>
      <c r="L167" s="41">
        <v>601207.54175851424</v>
      </c>
      <c r="M167" s="42">
        <f>L167/VLOOKUP(C167, exchange_rates[], 2, FALSE)</f>
        <v>11035.38072243969</v>
      </c>
      <c r="N167" s="39">
        <f>( LN( Data!$M167 ) - LN(100) ) / ( LN(75000) - LN(100) )</f>
        <v>0.7105195798773779</v>
      </c>
      <c r="O167" s="43">
        <f>POWER((Data!$F167*Data!$K167*Data!$N167), 1/3)</f>
        <v>0.71286503087330555</v>
      </c>
    </row>
    <row r="168" spans="2:15" x14ac:dyDescent="0.3">
      <c r="B168" s="38" t="s">
        <v>27</v>
      </c>
      <c r="C168" s="38">
        <v>2022</v>
      </c>
      <c r="D168" s="38" t="s">
        <v>15</v>
      </c>
      <c r="E168" s="38">
        <v>69.66</v>
      </c>
      <c r="F168" s="39">
        <f>(Data!$E168-20)/65</f>
        <v>0.7639999999999999</v>
      </c>
      <c r="G168" s="40">
        <v>12.63</v>
      </c>
      <c r="H168" s="40">
        <f>Data!$G168/18</f>
        <v>0.70166666666666666</v>
      </c>
      <c r="I168" s="40">
        <v>8.1720000000000006</v>
      </c>
      <c r="J168" s="40">
        <f>Data!$I168/15</f>
        <v>0.54480000000000006</v>
      </c>
      <c r="K168" s="39">
        <f>(Data!$H168+Data!$J168)/2</f>
        <v>0.62323333333333331</v>
      </c>
      <c r="L168" s="41">
        <v>570173.21595739096</v>
      </c>
      <c r="M168" s="42">
        <f>L168/VLOOKUP(C168, exchange_rates[], 2, FALSE)</f>
        <v>10465.734507294255</v>
      </c>
      <c r="N168" s="39">
        <f>( LN( Data!$M168 ) - LN(100) ) / ( LN(75000) - LN(100) )</f>
        <v>0.70251362611425017</v>
      </c>
      <c r="O168" s="43">
        <f>POWER((Data!$F168*Data!$K168*Data!$N168), 1/3)</f>
        <v>0.69417067229169804</v>
      </c>
    </row>
    <row r="169" spans="2:15" x14ac:dyDescent="0.3">
      <c r="B169" s="38" t="s">
        <v>28</v>
      </c>
      <c r="C169" s="38">
        <v>2022</v>
      </c>
      <c r="D169" s="38" t="s">
        <v>15</v>
      </c>
      <c r="E169" s="38">
        <v>69.55</v>
      </c>
      <c r="F169" s="39">
        <f>(Data!$E169-20)/65</f>
        <v>0.76230769230769224</v>
      </c>
      <c r="G169" s="40">
        <v>12.61</v>
      </c>
      <c r="H169" s="40">
        <f>Data!$G169/18</f>
        <v>0.70055555555555549</v>
      </c>
      <c r="I169" s="40">
        <v>8.0250000000000004</v>
      </c>
      <c r="J169" s="40">
        <f>Data!$I169/15</f>
        <v>0.53500000000000003</v>
      </c>
      <c r="K169" s="39">
        <f>(Data!$H169+Data!$J169)/2</f>
        <v>0.61777777777777776</v>
      </c>
      <c r="L169" s="41">
        <v>566195.94015153951</v>
      </c>
      <c r="M169" s="42">
        <f>L169/VLOOKUP(C169, exchange_rates[], 2, FALSE)</f>
        <v>10392.730178993017</v>
      </c>
      <c r="N169" s="39">
        <f>( LN( Data!$M169 ) - LN(100) ) / ( LN(75000) - LN(100) )</f>
        <v>0.70145623599459184</v>
      </c>
      <c r="O169" s="43">
        <f>POWER((Data!$F169*Data!$K169*Data!$N169), 1/3)</f>
        <v>0.69128063055021816</v>
      </c>
    </row>
    <row r="170" spans="2:15" x14ac:dyDescent="0.3">
      <c r="B170" s="38" t="s">
        <v>29</v>
      </c>
      <c r="C170" s="38">
        <v>2022</v>
      </c>
      <c r="D170" s="38" t="s">
        <v>15</v>
      </c>
      <c r="E170" s="38">
        <v>70.849999999999994</v>
      </c>
      <c r="F170" s="39">
        <f>(Data!$E170-20)/65</f>
        <v>0.78230769230769226</v>
      </c>
      <c r="G170" s="40">
        <v>12.54</v>
      </c>
      <c r="H170" s="40">
        <f>Data!$G170/18</f>
        <v>0.69666666666666666</v>
      </c>
      <c r="I170" s="40">
        <v>8.1630000000000003</v>
      </c>
      <c r="J170" s="40">
        <f>Data!$I170/15</f>
        <v>0.54420000000000002</v>
      </c>
      <c r="K170" s="39">
        <f>(Data!$H170+Data!$J170)/2</f>
        <v>0.62043333333333339</v>
      </c>
      <c r="L170" s="41">
        <v>667100.16183392587</v>
      </c>
      <c r="M170" s="42">
        <f>L170/VLOOKUP(C170, exchange_rates[], 2, FALSE)</f>
        <v>12244.863469785718</v>
      </c>
      <c r="N170" s="39">
        <f>( LN( Data!$M170 ) - LN(100) ) / ( LN(75000) - LN(100) )</f>
        <v>0.72622937594087256</v>
      </c>
      <c r="O170" s="43">
        <f>POWER((Data!$F170*Data!$K170*Data!$N170), 1/3)</f>
        <v>0.70639699829965086</v>
      </c>
    </row>
    <row r="171" spans="2:15" x14ac:dyDescent="0.3">
      <c r="B171" s="38" t="s">
        <v>30</v>
      </c>
      <c r="C171" s="38">
        <v>2022</v>
      </c>
      <c r="D171" s="38" t="s">
        <v>15</v>
      </c>
      <c r="E171" s="38">
        <v>71.75</v>
      </c>
      <c r="F171" s="39">
        <f>(Data!$E171-20)/65</f>
        <v>0.7961538461538461</v>
      </c>
      <c r="G171" s="40">
        <v>12.24</v>
      </c>
      <c r="H171" s="40">
        <f>Data!$G171/18</f>
        <v>0.68</v>
      </c>
      <c r="I171" s="40">
        <v>8.1809999999999992</v>
      </c>
      <c r="J171" s="40">
        <f>Data!$I171/15</f>
        <v>0.5454</v>
      </c>
      <c r="K171" s="39">
        <f>(Data!$H171+Data!$J171)/2</f>
        <v>0.61270000000000002</v>
      </c>
      <c r="L171" s="41">
        <v>622622.37932408985</v>
      </c>
      <c r="M171" s="42">
        <f>L171/VLOOKUP(C171, exchange_rates[], 2, FALSE)</f>
        <v>11428.457770265966</v>
      </c>
      <c r="N171" s="39">
        <f>( LN( Data!$M171 ) - LN(100) ) / ( LN(75000) - LN(100) )</f>
        <v>0.71580653047566922</v>
      </c>
      <c r="O171" s="43">
        <f>POWER((Data!$F171*Data!$K171*Data!$N171), 1/3)</f>
        <v>0.70417431181954993</v>
      </c>
    </row>
    <row r="172" spans="2:15" x14ac:dyDescent="0.3">
      <c r="B172" s="38" t="s">
        <v>31</v>
      </c>
      <c r="C172" s="38">
        <v>2022</v>
      </c>
      <c r="D172" s="38" t="s">
        <v>15</v>
      </c>
      <c r="E172" s="38">
        <v>69.2</v>
      </c>
      <c r="F172" s="39">
        <f>(Data!$E172-20)/65</f>
        <v>0.75692307692307692</v>
      </c>
      <c r="G172" s="40">
        <v>12.1</v>
      </c>
      <c r="H172" s="40">
        <f>Data!$G172/18</f>
        <v>0.67222222222222217</v>
      </c>
      <c r="I172" s="40">
        <v>7.73</v>
      </c>
      <c r="J172" s="40">
        <f>Data!$I172/15</f>
        <v>0.51533333333333331</v>
      </c>
      <c r="K172" s="39">
        <f>(Data!$H172+Data!$J172)/2</f>
        <v>0.59377777777777774</v>
      </c>
      <c r="L172" s="41">
        <v>542908.17689413845</v>
      </c>
      <c r="M172" s="42">
        <f>L172/VLOOKUP(C172, exchange_rates[], 2, FALSE)</f>
        <v>9965.2749062800758</v>
      </c>
      <c r="N172" s="39">
        <f>( LN( Data!$M172 ) - LN(100) ) / ( LN(75000) - LN(100) )</f>
        <v>0.69511189527664219</v>
      </c>
      <c r="O172" s="43">
        <f>POWER((Data!$F172*Data!$K172*Data!$N172), 1/3)</f>
        <v>0.67854210576956064</v>
      </c>
    </row>
    <row r="173" spans="2:15" x14ac:dyDescent="0.3">
      <c r="B173" s="38" t="s">
        <v>32</v>
      </c>
      <c r="C173" s="38">
        <v>2022</v>
      </c>
      <c r="D173" s="38" t="s">
        <v>15</v>
      </c>
      <c r="E173" s="38">
        <v>71.53</v>
      </c>
      <c r="F173" s="39">
        <f>(Data!$E173-20)/65</f>
        <v>0.79276923076923078</v>
      </c>
      <c r="G173" s="40">
        <v>12.62</v>
      </c>
      <c r="H173" s="40">
        <f>Data!$G173/18</f>
        <v>0.70111111111111102</v>
      </c>
      <c r="I173" s="40">
        <v>8.0329999999999995</v>
      </c>
      <c r="J173" s="40">
        <f>Data!$I173/15</f>
        <v>0.53553333333333331</v>
      </c>
      <c r="K173" s="39">
        <f>(Data!$H173+Data!$J173)/2</f>
        <v>0.61832222222222222</v>
      </c>
      <c r="L173" s="41">
        <v>612739.69357066171</v>
      </c>
      <c r="M173" s="42">
        <f>L173/VLOOKUP(C173, exchange_rates[], 2, FALSE)</f>
        <v>11247.057517816846</v>
      </c>
      <c r="N173" s="39">
        <f>( LN( Data!$M173 ) - LN(100) ) / ( LN(75000) - LN(100) )</f>
        <v>0.71338963877359307</v>
      </c>
      <c r="O173" s="43">
        <f>POWER((Data!$F173*Data!$K173*Data!$N173), 1/3)</f>
        <v>0.7045245741549393</v>
      </c>
    </row>
  </sheetData>
  <phoneticPr fontId="5" type="noConversion"/>
  <pageMargins left="0.7" right="0.7" top="0.75" bottom="0.75" header="0.3" footer="0.3"/>
  <pageSetup paperSize="9"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56E23-C153-4861-AB05-4CD7D91FF0D9}">
  <sheetPr codeName="Sheet8">
    <tabColor rgb="FF00B050"/>
  </sheetPr>
  <dimension ref="A1:Q171"/>
  <sheetViews>
    <sheetView workbookViewId="0">
      <selection activeCell="Q11" sqref="Q11"/>
    </sheetView>
  </sheetViews>
  <sheetFormatPr defaultRowHeight="14.4" x14ac:dyDescent="0.3"/>
  <cols>
    <col min="1" max="1" width="9.77734375" style="15" bestFit="1" customWidth="1"/>
    <col min="2" max="3" width="6.88671875" style="15" bestFit="1" customWidth="1"/>
    <col min="4" max="4" width="16.77734375" style="15" bestFit="1" customWidth="1"/>
    <col min="5" max="5" width="20.21875" style="16" bestFit="1" customWidth="1"/>
    <col min="6" max="6" width="17.109375" style="16" bestFit="1" customWidth="1"/>
    <col min="7" max="7" width="20.5546875" style="25" bestFit="1" customWidth="1"/>
    <col min="8" max="8" width="20.6640625" style="21" bestFit="1" customWidth="1"/>
    <col min="9" max="9" width="6.77734375" style="22" bestFit="1" customWidth="1"/>
    <col min="10" max="10" width="7.5546875" style="16" bestFit="1" customWidth="1"/>
    <col min="11" max="11" width="13.77734375" style="16" bestFit="1" customWidth="1"/>
    <col min="12" max="12" width="16.88671875" style="22" bestFit="1" customWidth="1"/>
    <col min="13" max="13" width="14.6640625" style="22" bestFit="1" customWidth="1"/>
    <col min="14" max="14" width="6.21875" style="23" bestFit="1" customWidth="1"/>
    <col min="15" max="15" width="1.6640625" style="15" customWidth="1"/>
    <col min="16" max="16" width="6.5546875" style="15" customWidth="1"/>
    <col min="17" max="17" width="13.109375" style="25" customWidth="1"/>
    <col min="18" max="16384" width="8.88671875" style="15"/>
  </cols>
  <sheetData>
    <row r="1" spans="1:17" x14ac:dyDescent="0.3">
      <c r="A1" s="15" t="s">
        <v>33</v>
      </c>
      <c r="B1" s="15" t="s">
        <v>34</v>
      </c>
      <c r="C1" s="15" t="s">
        <v>35</v>
      </c>
      <c r="D1" s="15" t="s">
        <v>36</v>
      </c>
      <c r="E1" s="16" t="s">
        <v>37</v>
      </c>
      <c r="F1" s="16" t="s">
        <v>38</v>
      </c>
      <c r="G1" s="24" t="s">
        <v>54</v>
      </c>
      <c r="H1" s="17" t="s">
        <v>55</v>
      </c>
      <c r="I1" s="18" t="s">
        <v>42</v>
      </c>
      <c r="J1" s="18" t="s">
        <v>41</v>
      </c>
      <c r="K1" s="19" t="s">
        <v>40</v>
      </c>
      <c r="L1" s="19" t="s">
        <v>43</v>
      </c>
      <c r="M1" s="19" t="s">
        <v>44</v>
      </c>
      <c r="N1" s="20" t="s">
        <v>45</v>
      </c>
      <c r="P1" s="15" t="s">
        <v>34</v>
      </c>
      <c r="Q1" s="25" t="s">
        <v>53</v>
      </c>
    </row>
    <row r="2" spans="1:17" x14ac:dyDescent="0.3">
      <c r="A2" s="15" t="s">
        <v>16</v>
      </c>
      <c r="B2" s="15">
        <v>2018</v>
      </c>
      <c r="C2" s="15" t="s">
        <v>14</v>
      </c>
      <c r="D2" s="15">
        <v>69.31</v>
      </c>
      <c r="E2" s="16">
        <v>11.96</v>
      </c>
      <c r="F2" s="16">
        <v>6.2350000000000003</v>
      </c>
      <c r="G2" s="25">
        <v>174182.025345712</v>
      </c>
      <c r="H2" s="21">
        <f>G2/VLOOKUP(B2, exchange_rates6[], 2, FALSE)</f>
        <v>3307.6723385057353</v>
      </c>
      <c r="I2" s="16">
        <f>HDI_Data5[[#This Row],[Expected Schooling ]]/18</f>
        <v>0.6644444444444445</v>
      </c>
      <c r="J2" s="16">
        <f>HDI_Data5[[#This Row],[Mean schooling ]]/15</f>
        <v>0.41566666666666668</v>
      </c>
      <c r="K2" s="22">
        <f>(HDI_Data5[[#This Row],[Life Expectancy ]]-20)/65</f>
        <v>0.75861538461538469</v>
      </c>
      <c r="L2" s="22">
        <f>(HDI_Data5[[#This Row],[EYSI]]+HDI_Data5[[#This Row],[MYSI]])/2</f>
        <v>0.54005555555555562</v>
      </c>
      <c r="M2" s="22">
        <f>( LN( HDI_Data5[[#This Row],[GNI per capita (USD)]] ) - LN(100) ) / ( LN(75000) - LN(100) )</f>
        <v>0.52851829652888027</v>
      </c>
      <c r="N2" s="23">
        <f>POWER((HDI_Data5[[#This Row],[Health Index]]*HDI_Data5[[#This Row],[Education Index]]*HDI_Data5[[#This Row],[Income Index]]), 1/3)</f>
        <v>0.60049127762697252</v>
      </c>
      <c r="P2" s="15">
        <v>2018</v>
      </c>
      <c r="Q2" s="25">
        <v>52.66</v>
      </c>
    </row>
    <row r="3" spans="1:17" x14ac:dyDescent="0.3">
      <c r="A3" s="15" t="s">
        <v>17</v>
      </c>
      <c r="B3" s="15">
        <v>2018</v>
      </c>
      <c r="C3" s="15" t="s">
        <v>14</v>
      </c>
      <c r="D3" s="15">
        <v>76.569999999999993</v>
      </c>
      <c r="E3" s="16">
        <v>14.16</v>
      </c>
      <c r="F3" s="16">
        <v>9.5389999999999997</v>
      </c>
      <c r="G3" s="25">
        <v>409976.92395836528</v>
      </c>
      <c r="H3" s="21">
        <f>G3/VLOOKUP(B3, exchange_rates6[], 2, FALSE)</f>
        <v>7785.3574621793641</v>
      </c>
      <c r="I3" s="18">
        <f>HDI_Data5[[#This Row],[Expected Schooling ]]/18</f>
        <v>0.78666666666666663</v>
      </c>
      <c r="J3" s="16">
        <f>HDI_Data5[[#This Row],[Mean schooling ]]/15</f>
        <v>0.63593333333333335</v>
      </c>
      <c r="K3" s="22">
        <f>(HDI_Data5[[#This Row],[Life Expectancy ]]-20)/65</f>
        <v>0.87030769230769223</v>
      </c>
      <c r="L3" s="22">
        <f>(HDI_Data5[[#This Row],[EYSI]]+HDI_Data5[[#This Row],[MYSI]])/2</f>
        <v>0.71130000000000004</v>
      </c>
      <c r="M3" s="22">
        <f>( LN( HDI_Data5[[#This Row],[GNI per capita (USD)]] ) - LN(100) ) / ( LN(75000) - LN(100) )</f>
        <v>0.65782200258995593</v>
      </c>
      <c r="N3" s="23">
        <f>POWER((HDI_Data5[[#This Row],[Health Index]]*HDI_Data5[[#This Row],[Education Index]]*HDI_Data5[[#This Row],[Income Index]]), 1/3)</f>
        <v>0.74121581216264676</v>
      </c>
      <c r="P3" s="15">
        <v>2019</v>
      </c>
      <c r="Q3" s="25">
        <v>51.8</v>
      </c>
    </row>
    <row r="4" spans="1:17" x14ac:dyDescent="0.3">
      <c r="A4" s="15" t="s">
        <v>19</v>
      </c>
      <c r="B4" s="15">
        <v>2018</v>
      </c>
      <c r="C4" s="15" t="s">
        <v>14</v>
      </c>
      <c r="D4" s="15">
        <v>72.739999999999995</v>
      </c>
      <c r="E4" s="16">
        <v>13.16</v>
      </c>
      <c r="F4" s="16">
        <v>9.2989999999999995</v>
      </c>
      <c r="G4" s="25">
        <v>430996.89033858007</v>
      </c>
      <c r="H4" s="21">
        <f>G4/VLOOKUP(B4, exchange_rates6[], 2, FALSE)</f>
        <v>8184.5212749445518</v>
      </c>
      <c r="I4" s="16">
        <f>HDI_Data5[[#This Row],[Expected Schooling ]]/18</f>
        <v>0.73111111111111116</v>
      </c>
      <c r="J4" s="16">
        <f>HDI_Data5[[#This Row],[Mean schooling ]]/15</f>
        <v>0.61993333333333334</v>
      </c>
      <c r="K4" s="22">
        <f>(HDI_Data5[[#This Row],[Life Expectancy ]]-20)/65</f>
        <v>0.81138461538461526</v>
      </c>
      <c r="L4" s="22">
        <f>(HDI_Data5[[#This Row],[EYSI]]+HDI_Data5[[#This Row],[MYSI]])/2</f>
        <v>0.67552222222222225</v>
      </c>
      <c r="M4" s="22">
        <f>( LN( HDI_Data5[[#This Row],[GNI per capita (USD)]] ) - LN(100) ) / ( LN(75000) - LN(100) )</f>
        <v>0.66537478915894377</v>
      </c>
      <c r="N4" s="23">
        <f>POWER((HDI_Data5[[#This Row],[Health Index]]*HDI_Data5[[#This Row],[Education Index]]*HDI_Data5[[#This Row],[Income Index]]), 1/3)</f>
        <v>0.71445944775527304</v>
      </c>
      <c r="P4" s="15">
        <v>2020</v>
      </c>
      <c r="Q4" s="25">
        <v>49.63</v>
      </c>
    </row>
    <row r="5" spans="1:17" x14ac:dyDescent="0.3">
      <c r="A5" s="15" t="s">
        <v>20</v>
      </c>
      <c r="B5" s="15">
        <v>2018</v>
      </c>
      <c r="C5" s="15" t="s">
        <v>14</v>
      </c>
      <c r="D5" s="15">
        <v>74.63</v>
      </c>
      <c r="E5" s="16">
        <v>13.65</v>
      </c>
      <c r="F5" s="16">
        <v>8.4090000000000007</v>
      </c>
      <c r="G5" s="25">
        <v>356773.41024966637</v>
      </c>
      <c r="H5" s="21">
        <f>G5/VLOOKUP(B5, exchange_rates6[], 2, FALSE)</f>
        <v>6775.0362751550774</v>
      </c>
      <c r="I5" s="16">
        <f>HDI_Data5[[#This Row],[Expected Schooling ]]/18</f>
        <v>0.7583333333333333</v>
      </c>
      <c r="J5" s="16">
        <f>HDI_Data5[[#This Row],[Mean schooling ]]/15</f>
        <v>0.5606000000000001</v>
      </c>
      <c r="K5" s="22">
        <f>(HDI_Data5[[#This Row],[Life Expectancy ]]-20)/65</f>
        <v>0.84046153846153837</v>
      </c>
      <c r="L5" s="22">
        <f>(HDI_Data5[[#This Row],[EYSI]]+HDI_Data5[[#This Row],[MYSI]])/2</f>
        <v>0.65946666666666665</v>
      </c>
      <c r="M5" s="22">
        <f>( LN( HDI_Data5[[#This Row],[GNI per capita (USD)]] ) - LN(100) ) / ( LN(75000) - LN(100) )</f>
        <v>0.63682525592816897</v>
      </c>
      <c r="N5" s="23">
        <f>POWER((HDI_Data5[[#This Row],[Health Index]]*HDI_Data5[[#This Row],[Education Index]]*HDI_Data5[[#This Row],[Income Index]]), 1/3)</f>
        <v>0.70671393870610555</v>
      </c>
      <c r="P5" s="15">
        <v>2021</v>
      </c>
      <c r="Q5" s="25">
        <v>48</v>
      </c>
    </row>
    <row r="6" spans="1:17" x14ac:dyDescent="0.3">
      <c r="A6" s="15" t="s">
        <v>21</v>
      </c>
      <c r="B6" s="15">
        <v>2018</v>
      </c>
      <c r="C6" s="15" t="s">
        <v>14</v>
      </c>
      <c r="D6" s="15">
        <v>74.959999999999994</v>
      </c>
      <c r="E6" s="16">
        <v>12.85</v>
      </c>
      <c r="F6" s="16">
        <v>9.0020000000000007</v>
      </c>
      <c r="G6" s="25">
        <v>484007.72875249427</v>
      </c>
      <c r="H6" s="21">
        <f>G6/VLOOKUP(B6, exchange_rates6[], 2, FALSE)</f>
        <v>9191.1836071495309</v>
      </c>
      <c r="I6" s="16">
        <f>HDI_Data5[[#This Row],[Expected Schooling ]]/18</f>
        <v>0.71388888888888891</v>
      </c>
      <c r="J6" s="16">
        <f>HDI_Data5[[#This Row],[Mean schooling ]]/15</f>
        <v>0.60013333333333341</v>
      </c>
      <c r="K6" s="22">
        <f>(HDI_Data5[[#This Row],[Life Expectancy ]]-20)/65</f>
        <v>0.84553846153846146</v>
      </c>
      <c r="L6" s="22">
        <f>(HDI_Data5[[#This Row],[EYSI]]+HDI_Data5[[#This Row],[MYSI]])/2</f>
        <v>0.65701111111111121</v>
      </c>
      <c r="M6" s="22">
        <f>( LN( HDI_Data5[[#This Row],[GNI per capita (USD)]] ) - LN(100) ) / ( LN(75000) - LN(100) )</f>
        <v>0.68289725399899592</v>
      </c>
      <c r="N6" s="23">
        <f>POWER((HDI_Data5[[#This Row],[Health Index]]*HDI_Data5[[#This Row],[Education Index]]*HDI_Data5[[#This Row],[Income Index]]), 1/3)</f>
        <v>0.72391428949387893</v>
      </c>
      <c r="P6" s="15">
        <v>2022</v>
      </c>
      <c r="Q6" s="25">
        <v>54.48</v>
      </c>
    </row>
    <row r="7" spans="1:17" x14ac:dyDescent="0.3">
      <c r="A7" s="15" t="s">
        <v>22</v>
      </c>
      <c r="B7" s="15">
        <v>2018</v>
      </c>
      <c r="C7" s="15" t="s">
        <v>14</v>
      </c>
      <c r="D7" s="15">
        <v>74.48</v>
      </c>
      <c r="E7" s="16">
        <v>13.06</v>
      </c>
      <c r="F7" s="16">
        <v>9.4789999999999992</v>
      </c>
      <c r="G7" s="25">
        <v>497253.95680899755</v>
      </c>
      <c r="H7" s="21">
        <f>G7/VLOOKUP(B7, exchange_rates6[], 2, FALSE)</f>
        <v>9442.7261072730271</v>
      </c>
      <c r="I7" s="16">
        <f>HDI_Data5[[#This Row],[Expected Schooling ]]/18</f>
        <v>0.72555555555555562</v>
      </c>
      <c r="J7" s="16">
        <f>HDI_Data5[[#This Row],[Mean schooling ]]/15</f>
        <v>0.63193333333333324</v>
      </c>
      <c r="K7" s="22">
        <f>(HDI_Data5[[#This Row],[Life Expectancy ]]-20)/65</f>
        <v>0.83815384615384625</v>
      </c>
      <c r="L7" s="22">
        <f>(HDI_Data5[[#This Row],[EYSI]]+HDI_Data5[[#This Row],[MYSI]])/2</f>
        <v>0.67874444444444437</v>
      </c>
      <c r="M7" s="22">
        <f>( LN( HDI_Data5[[#This Row],[GNI per capita (USD)]] ) - LN(100) ) / ( LN(75000) - LN(100) )</f>
        <v>0.68697575874624961</v>
      </c>
      <c r="N7" s="23">
        <f>POWER((HDI_Data5[[#This Row],[Health Index]]*HDI_Data5[[#This Row],[Education Index]]*HDI_Data5[[#This Row],[Income Index]]), 1/3)</f>
        <v>0.73112305808688804</v>
      </c>
    </row>
    <row r="8" spans="1:17" x14ac:dyDescent="0.3">
      <c r="A8" s="15" t="s">
        <v>23</v>
      </c>
      <c r="B8" s="15">
        <v>2018</v>
      </c>
      <c r="C8" s="15" t="s">
        <v>14</v>
      </c>
      <c r="D8" s="15">
        <v>72.7</v>
      </c>
      <c r="E8" s="16">
        <v>13.41</v>
      </c>
      <c r="F8" s="16">
        <v>8.3330000000000002</v>
      </c>
      <c r="G8" s="25">
        <v>309544.19448158017</v>
      </c>
      <c r="H8" s="21">
        <f>G8/VLOOKUP(B8, exchange_rates6[], 2, FALSE)</f>
        <v>5878.1654857876983</v>
      </c>
      <c r="I8" s="16">
        <f>HDI_Data5[[#This Row],[Expected Schooling ]]/18</f>
        <v>0.745</v>
      </c>
      <c r="J8" s="16">
        <f>HDI_Data5[[#This Row],[Mean schooling ]]/15</f>
        <v>0.55553333333333332</v>
      </c>
      <c r="K8" s="22">
        <f>(HDI_Data5[[#This Row],[Life Expectancy ]]-20)/65</f>
        <v>0.8107692307692308</v>
      </c>
      <c r="L8" s="22">
        <f>(HDI_Data5[[#This Row],[EYSI]]+HDI_Data5[[#This Row],[MYSI]])/2</f>
        <v>0.65026666666666666</v>
      </c>
      <c r="M8" s="22">
        <f>( LN( HDI_Data5[[#This Row],[GNI per capita (USD)]] ) - LN(100) ) / ( LN(75000) - LN(100) )</f>
        <v>0.61537534207224309</v>
      </c>
      <c r="N8" s="23">
        <f>POWER((HDI_Data5[[#This Row],[Health Index]]*HDI_Data5[[#This Row],[Education Index]]*HDI_Data5[[#This Row],[Income Index]]), 1/3)</f>
        <v>0.68713638694969137</v>
      </c>
    </row>
    <row r="9" spans="1:17" x14ac:dyDescent="0.3">
      <c r="A9" s="15" t="s">
        <v>24</v>
      </c>
      <c r="B9" s="15">
        <v>2018</v>
      </c>
      <c r="C9" s="15" t="s">
        <v>14</v>
      </c>
      <c r="D9" s="15">
        <v>73.44</v>
      </c>
      <c r="E9" s="16">
        <v>13.34</v>
      </c>
      <c r="F9" s="16">
        <v>7.73</v>
      </c>
      <c r="G9" s="25">
        <v>293272.10823308572</v>
      </c>
      <c r="H9" s="21">
        <f>G9/VLOOKUP(B9, exchange_rates6[], 2, FALSE)</f>
        <v>5569.1627085660029</v>
      </c>
      <c r="I9" s="16">
        <f>HDI_Data5[[#This Row],[Expected Schooling ]]/18</f>
        <v>0.74111111111111105</v>
      </c>
      <c r="J9" s="16">
        <f>HDI_Data5[[#This Row],[Mean schooling ]]/15</f>
        <v>0.51533333333333331</v>
      </c>
      <c r="K9" s="22">
        <f>(HDI_Data5[[#This Row],[Life Expectancy ]]-20)/65</f>
        <v>0.82215384615384612</v>
      </c>
      <c r="L9" s="22">
        <f>(HDI_Data5[[#This Row],[EYSI]]+HDI_Data5[[#This Row],[MYSI]])/2</f>
        <v>0.62822222222222224</v>
      </c>
      <c r="M9" s="22">
        <f>( LN( HDI_Data5[[#This Row],[GNI per capita (USD)]] ) - LN(100) ) / ( LN(75000) - LN(100) )</f>
        <v>0.60721833257773594</v>
      </c>
      <c r="N9" s="23">
        <f>POWER((HDI_Data5[[#This Row],[Health Index]]*HDI_Data5[[#This Row],[Education Index]]*HDI_Data5[[#This Row],[Income Index]]), 1/3)</f>
        <v>0.67941806088215428</v>
      </c>
    </row>
    <row r="10" spans="1:17" x14ac:dyDescent="0.3">
      <c r="A10" s="15" t="s">
        <v>18</v>
      </c>
      <c r="B10" s="15">
        <v>2018</v>
      </c>
      <c r="C10" s="15" t="s">
        <v>14</v>
      </c>
      <c r="D10" s="15">
        <v>76.790000000000006</v>
      </c>
      <c r="E10" s="16">
        <v>13.56</v>
      </c>
      <c r="F10" s="16">
        <v>10.52</v>
      </c>
      <c r="G10" s="25">
        <v>562899.37102492293</v>
      </c>
      <c r="H10" s="21">
        <f>G10/VLOOKUP(B10, exchange_rates6[], 2, FALSE)</f>
        <v>10689.315818931314</v>
      </c>
      <c r="I10" s="16">
        <f>HDI_Data5[[#This Row],[Expected Schooling ]]/18</f>
        <v>0.75333333333333341</v>
      </c>
      <c r="J10" s="16">
        <f>HDI_Data5[[#This Row],[Mean schooling ]]/15</f>
        <v>0.70133333333333325</v>
      </c>
      <c r="K10" s="22">
        <f>(HDI_Data5[[#This Row],[Life Expectancy ]]-20)/65</f>
        <v>0.87369230769230777</v>
      </c>
      <c r="L10" s="22">
        <f>(HDI_Data5[[#This Row],[EYSI]]+HDI_Data5[[#This Row],[MYSI]])/2</f>
        <v>0.72733333333333339</v>
      </c>
      <c r="M10" s="22">
        <f>( LN( HDI_Data5[[#This Row],[GNI per capita (USD)]] ) - LN(100) ) / ( LN(75000) - LN(100) )</f>
        <v>0.70570666943733984</v>
      </c>
      <c r="N10" s="23">
        <f>POWER((HDI_Data5[[#This Row],[Health Index]]*HDI_Data5[[#This Row],[Education Index]]*HDI_Data5[[#This Row],[Income Index]]), 1/3)</f>
        <v>0.76542987427233022</v>
      </c>
    </row>
    <row r="11" spans="1:17" x14ac:dyDescent="0.3">
      <c r="A11" s="15" t="s">
        <v>25</v>
      </c>
      <c r="B11" s="15">
        <v>2018</v>
      </c>
      <c r="C11" s="15" t="s">
        <v>14</v>
      </c>
      <c r="D11" s="15">
        <v>71.989999999999995</v>
      </c>
      <c r="E11" s="16">
        <v>13.28</v>
      </c>
      <c r="F11" s="16">
        <v>8.4830000000000005</v>
      </c>
      <c r="G11" s="25">
        <v>305240.77001911157</v>
      </c>
      <c r="H11" s="21">
        <f>G11/VLOOKUP(B11, exchange_rates6[], 2, FALSE)</f>
        <v>5796.4445503059551</v>
      </c>
      <c r="I11" s="16">
        <f>HDI_Data5[[#This Row],[Expected Schooling ]]/18</f>
        <v>0.73777777777777775</v>
      </c>
      <c r="J11" s="16">
        <f>HDI_Data5[[#This Row],[Mean schooling ]]/15</f>
        <v>0.56553333333333333</v>
      </c>
      <c r="K11" s="22">
        <f>(HDI_Data5[[#This Row],[Life Expectancy ]]-20)/65</f>
        <v>0.79984615384615376</v>
      </c>
      <c r="L11" s="22">
        <f>(HDI_Data5[[#This Row],[EYSI]]+HDI_Data5[[#This Row],[MYSI]])/2</f>
        <v>0.65165555555555554</v>
      </c>
      <c r="M11" s="22">
        <f>( LN( HDI_Data5[[#This Row],[GNI per capita (USD)]] ) - LN(100) ) / ( LN(75000) - LN(100) )</f>
        <v>0.61326056183292632</v>
      </c>
      <c r="N11" s="23">
        <f>POWER((HDI_Data5[[#This Row],[Health Index]]*HDI_Data5[[#This Row],[Education Index]]*HDI_Data5[[#This Row],[Income Index]]), 1/3)</f>
        <v>0.68373823488135699</v>
      </c>
    </row>
    <row r="12" spans="1:17" x14ac:dyDescent="0.3">
      <c r="A12" s="15" t="s">
        <v>26</v>
      </c>
      <c r="B12" s="15">
        <v>2018</v>
      </c>
      <c r="C12" s="15" t="s">
        <v>14</v>
      </c>
      <c r="D12" s="15">
        <v>70.86</v>
      </c>
      <c r="E12" s="16">
        <v>13.52</v>
      </c>
      <c r="F12" s="16">
        <v>8.6</v>
      </c>
      <c r="G12" s="25">
        <v>324115.80510194</v>
      </c>
      <c r="H12" s="21">
        <f>G12/VLOOKUP(B12, exchange_rates6[], 2, FALSE)</f>
        <v>6154.87666353855</v>
      </c>
      <c r="I12" s="16">
        <f>HDI_Data5[[#This Row],[Expected Schooling ]]/18</f>
        <v>0.75111111111111106</v>
      </c>
      <c r="J12" s="16">
        <f>HDI_Data5[[#This Row],[Mean schooling ]]/15</f>
        <v>0.57333333333333336</v>
      </c>
      <c r="K12" s="22">
        <f>(HDI_Data5[[#This Row],[Life Expectancy ]]-20)/65</f>
        <v>0.78246153846153843</v>
      </c>
      <c r="L12" s="22">
        <f>(HDI_Data5[[#This Row],[EYSI]]+HDI_Data5[[#This Row],[MYSI]])/2</f>
        <v>0.66222222222222227</v>
      </c>
      <c r="M12" s="22">
        <f>( LN( HDI_Data5[[#This Row],[GNI per capita (USD)]] ) - LN(100) ) / ( LN(75000) - LN(100) )</f>
        <v>0.62232390571571194</v>
      </c>
      <c r="N12" s="23">
        <f>POWER((HDI_Data5[[#This Row],[Health Index]]*HDI_Data5[[#This Row],[Education Index]]*HDI_Data5[[#This Row],[Income Index]]), 1/3)</f>
        <v>0.68574251811657139</v>
      </c>
    </row>
    <row r="13" spans="1:17" x14ac:dyDescent="0.3">
      <c r="A13" s="15" t="s">
        <v>27</v>
      </c>
      <c r="B13" s="15">
        <v>2018</v>
      </c>
      <c r="C13" s="15" t="s">
        <v>14</v>
      </c>
      <c r="D13" s="15">
        <v>73.19</v>
      </c>
      <c r="E13" s="16">
        <v>13.38</v>
      </c>
      <c r="F13" s="16">
        <v>8.3260000000000005</v>
      </c>
      <c r="G13" s="25">
        <v>357845.3375674467</v>
      </c>
      <c r="H13" s="21">
        <f>G13/VLOOKUP(B13, exchange_rates6[], 2, FALSE)</f>
        <v>6795.3919021543243</v>
      </c>
      <c r="I13" s="16">
        <f>HDI_Data5[[#This Row],[Expected Schooling ]]/18</f>
        <v>0.7433333333333334</v>
      </c>
      <c r="J13" s="16">
        <f>HDI_Data5[[#This Row],[Mean schooling ]]/15</f>
        <v>0.55506666666666671</v>
      </c>
      <c r="K13" s="22">
        <f>(HDI_Data5[[#This Row],[Life Expectancy ]]-20)/65</f>
        <v>0.81830769230769229</v>
      </c>
      <c r="L13" s="22">
        <f>(HDI_Data5[[#This Row],[EYSI]]+HDI_Data5[[#This Row],[MYSI]])/2</f>
        <v>0.6492</v>
      </c>
      <c r="M13" s="22">
        <f>( LN( HDI_Data5[[#This Row],[GNI per capita (USD)]] ) - LN(100) ) / ( LN(75000) - LN(100) )</f>
        <v>0.63727842312230831</v>
      </c>
      <c r="N13" s="23">
        <f>POWER((HDI_Data5[[#This Row],[Health Index]]*HDI_Data5[[#This Row],[Education Index]]*HDI_Data5[[#This Row],[Income Index]]), 1/3)</f>
        <v>0.69696042691374915</v>
      </c>
    </row>
    <row r="14" spans="1:17" x14ac:dyDescent="0.3">
      <c r="A14" s="15" t="s">
        <v>28</v>
      </c>
      <c r="B14" s="15">
        <v>2018</v>
      </c>
      <c r="C14" s="15" t="s">
        <v>14</v>
      </c>
      <c r="D14" s="15">
        <v>72.819999999999993</v>
      </c>
      <c r="E14" s="16">
        <v>13.9</v>
      </c>
      <c r="F14" s="16">
        <v>8.4049999999999994</v>
      </c>
      <c r="G14" s="25">
        <v>327700.76006211969</v>
      </c>
      <c r="H14" s="21">
        <f>G14/VLOOKUP(B14, exchange_rates6[], 2, FALSE)</f>
        <v>6222.9540459954369</v>
      </c>
      <c r="I14" s="16">
        <f>HDI_Data5[[#This Row],[Expected Schooling ]]/18</f>
        <v>0.77222222222222225</v>
      </c>
      <c r="J14" s="16">
        <f>HDI_Data5[[#This Row],[Mean schooling ]]/15</f>
        <v>0.56033333333333324</v>
      </c>
      <c r="K14" s="22">
        <f>(HDI_Data5[[#This Row],[Life Expectancy ]]-20)/65</f>
        <v>0.81261538461538452</v>
      </c>
      <c r="L14" s="22">
        <f>(HDI_Data5[[#This Row],[EYSI]]+HDI_Data5[[#This Row],[MYSI]])/2</f>
        <v>0.66627777777777775</v>
      </c>
      <c r="M14" s="22">
        <f>( LN( HDI_Data5[[#This Row],[GNI per capita (USD)]] ) - LN(100) ) / ( LN(75000) - LN(100) )</f>
        <v>0.62398551876088948</v>
      </c>
      <c r="N14" s="23">
        <f>POWER((HDI_Data5[[#This Row],[Health Index]]*HDI_Data5[[#This Row],[Education Index]]*HDI_Data5[[#This Row],[Income Index]]), 1/3)</f>
        <v>0.69647408246761744</v>
      </c>
    </row>
    <row r="15" spans="1:17" x14ac:dyDescent="0.3">
      <c r="A15" s="15" t="s">
        <v>29</v>
      </c>
      <c r="B15" s="15">
        <v>2018</v>
      </c>
      <c r="C15" s="15" t="s">
        <v>14</v>
      </c>
      <c r="D15" s="15">
        <v>73.150000000000006</v>
      </c>
      <c r="E15" s="16">
        <v>13.29</v>
      </c>
      <c r="F15" s="16">
        <v>8.7490000000000006</v>
      </c>
      <c r="G15" s="25">
        <v>342099.24160019465</v>
      </c>
      <c r="H15" s="21">
        <f>G15/VLOOKUP(B15, exchange_rates6[], 2, FALSE)</f>
        <v>6496.3775465285735</v>
      </c>
      <c r="I15" s="16">
        <f>HDI_Data5[[#This Row],[Expected Schooling ]]/18</f>
        <v>0.73833333333333329</v>
      </c>
      <c r="J15" s="16">
        <f>HDI_Data5[[#This Row],[Mean schooling ]]/15</f>
        <v>0.58326666666666671</v>
      </c>
      <c r="K15" s="22">
        <f>(HDI_Data5[[#This Row],[Life Expectancy ]]-20)/65</f>
        <v>0.81769230769230783</v>
      </c>
      <c r="L15" s="22">
        <f>(HDI_Data5[[#This Row],[EYSI]]+HDI_Data5[[#This Row],[MYSI]])/2</f>
        <v>0.66080000000000005</v>
      </c>
      <c r="M15" s="22">
        <f>( LN( HDI_Data5[[#This Row],[GNI per capita (USD)]] ) - LN(100) ) / ( LN(75000) - LN(100) )</f>
        <v>0.6304809152102191</v>
      </c>
      <c r="N15" s="23">
        <f>POWER((HDI_Data5[[#This Row],[Health Index]]*HDI_Data5[[#This Row],[Education Index]]*HDI_Data5[[#This Row],[Income Index]]), 1/3)</f>
        <v>0.69841029173502012</v>
      </c>
    </row>
    <row r="16" spans="1:17" x14ac:dyDescent="0.3">
      <c r="A16" s="15" t="s">
        <v>30</v>
      </c>
      <c r="B16" s="15">
        <v>2018</v>
      </c>
      <c r="C16" s="15" t="s">
        <v>14</v>
      </c>
      <c r="D16" s="15">
        <v>74.5</v>
      </c>
      <c r="E16" s="16">
        <v>13.01</v>
      </c>
      <c r="F16" s="16">
        <v>8.4540000000000006</v>
      </c>
      <c r="G16" s="25">
        <v>305240.77001911157</v>
      </c>
      <c r="H16" s="21">
        <f>G16/VLOOKUP(B16, exchange_rates6[], 2, FALSE)</f>
        <v>5796.4445503059551</v>
      </c>
      <c r="I16" s="16">
        <f>HDI_Data5[[#This Row],[Expected Schooling ]]/18</f>
        <v>0.72277777777777774</v>
      </c>
      <c r="J16" s="16">
        <f>HDI_Data5[[#This Row],[Mean schooling ]]/15</f>
        <v>0.56359999999999999</v>
      </c>
      <c r="K16" s="22">
        <f>(HDI_Data5[[#This Row],[Life Expectancy ]]-20)/65</f>
        <v>0.83846153846153848</v>
      </c>
      <c r="L16" s="22">
        <f>(HDI_Data5[[#This Row],[EYSI]]+HDI_Data5[[#This Row],[MYSI]])/2</f>
        <v>0.64318888888888881</v>
      </c>
      <c r="M16" s="22">
        <f>( LN( HDI_Data5[[#This Row],[GNI per capita (USD)]] ) - LN(100) ) / ( LN(75000) - LN(100) )</f>
        <v>0.61326056183292632</v>
      </c>
      <c r="N16" s="23">
        <f>POWER((HDI_Data5[[#This Row],[Health Index]]*HDI_Data5[[#This Row],[Education Index]]*HDI_Data5[[#This Row],[Income Index]]), 1/3)</f>
        <v>0.69154785486865489</v>
      </c>
    </row>
    <row r="17" spans="1:14" x14ac:dyDescent="0.3">
      <c r="A17" s="15" t="s">
        <v>31</v>
      </c>
      <c r="B17" s="15">
        <v>2018</v>
      </c>
      <c r="C17" s="15" t="s">
        <v>14</v>
      </c>
      <c r="D17" s="15">
        <v>70.36</v>
      </c>
      <c r="E17" s="16">
        <v>12.95</v>
      </c>
      <c r="F17" s="16">
        <v>8.0579999999999998</v>
      </c>
      <c r="G17" s="25">
        <v>288040.43658410263</v>
      </c>
      <c r="H17" s="21">
        <f>G17/VLOOKUP(B17, exchange_rates6[], 2, FALSE)</f>
        <v>5469.8145952165332</v>
      </c>
      <c r="I17" s="16">
        <f>HDI_Data5[[#This Row],[Expected Schooling ]]/18</f>
        <v>0.71944444444444444</v>
      </c>
      <c r="J17" s="16">
        <f>HDI_Data5[[#This Row],[Mean schooling ]]/15</f>
        <v>0.53720000000000001</v>
      </c>
      <c r="K17" s="22">
        <f>(HDI_Data5[[#This Row],[Life Expectancy ]]-20)/65</f>
        <v>0.77476923076923077</v>
      </c>
      <c r="L17" s="22">
        <f>(HDI_Data5[[#This Row],[EYSI]]+HDI_Data5[[#This Row],[MYSI]])/2</f>
        <v>0.62832222222222223</v>
      </c>
      <c r="M17" s="22">
        <f>( LN( HDI_Data5[[#This Row],[GNI per capita (USD)]] ) - LN(100) ) / ( LN(75000) - LN(100) )</f>
        <v>0.60449932941290019</v>
      </c>
      <c r="N17" s="23">
        <f>POWER((HDI_Data5[[#This Row],[Health Index]]*HDI_Data5[[#This Row],[Education Index]]*HDI_Data5[[#This Row],[Income Index]]), 1/3)</f>
        <v>0.66514582490947671</v>
      </c>
    </row>
    <row r="18" spans="1:14" x14ac:dyDescent="0.3">
      <c r="A18" s="15" t="s">
        <v>32</v>
      </c>
      <c r="B18" s="15">
        <v>2018</v>
      </c>
      <c r="C18" s="15" t="s">
        <v>14</v>
      </c>
      <c r="D18" s="15">
        <v>73.89</v>
      </c>
      <c r="E18" s="16">
        <v>13.3</v>
      </c>
      <c r="F18" s="16">
        <v>8.5830000000000002</v>
      </c>
      <c r="G18" s="25">
        <v>357130.36210609809</v>
      </c>
      <c r="H18" s="21">
        <f>G18/VLOOKUP(B18, exchange_rates6[], 2, FALSE)</f>
        <v>6781.8147000778226</v>
      </c>
      <c r="I18" s="16">
        <f>HDI_Data5[[#This Row],[Expected Schooling ]]/18</f>
        <v>0.73888888888888893</v>
      </c>
      <c r="J18" s="16">
        <f>HDI_Data5[[#This Row],[Mean schooling ]]/15</f>
        <v>0.57220000000000004</v>
      </c>
      <c r="K18" s="22">
        <f>(HDI_Data5[[#This Row],[Life Expectancy ]]-20)/65</f>
        <v>0.82907692307692304</v>
      </c>
      <c r="L18" s="22">
        <f>(HDI_Data5[[#This Row],[EYSI]]+HDI_Data5[[#This Row],[MYSI]])/2</f>
        <v>0.65554444444444449</v>
      </c>
      <c r="M18" s="22">
        <f>( LN( HDI_Data5[[#This Row],[GNI per capita (USD)]] ) - LN(100) ) / ( LN(75000) - LN(100) )</f>
        <v>0.63697631165954871</v>
      </c>
      <c r="N18" s="23">
        <f>POWER((HDI_Data5[[#This Row],[Health Index]]*HDI_Data5[[#This Row],[Education Index]]*HDI_Data5[[#This Row],[Income Index]]), 1/3)</f>
        <v>0.70216646387475568</v>
      </c>
    </row>
    <row r="19" spans="1:14" x14ac:dyDescent="0.3">
      <c r="A19" s="15" t="s">
        <v>16</v>
      </c>
      <c r="B19" s="15">
        <v>2018</v>
      </c>
      <c r="C19" s="15" t="s">
        <v>15</v>
      </c>
      <c r="D19" s="15">
        <v>66.349999999999994</v>
      </c>
      <c r="E19" s="16">
        <v>10.85</v>
      </c>
      <c r="F19" s="16">
        <v>5.6520000000000001</v>
      </c>
      <c r="G19" s="25">
        <v>250410.32567225737</v>
      </c>
      <c r="H19" s="21">
        <f>G19/VLOOKUP(B19, exchange_rates6[], 2, FALSE)</f>
        <v>4755.2283644560839</v>
      </c>
      <c r="I19" s="16">
        <f>HDI_Data5[[#This Row],[Expected Schooling ]]/18</f>
        <v>0.60277777777777775</v>
      </c>
      <c r="J19" s="16">
        <f>HDI_Data5[[#This Row],[Mean schooling ]]/15</f>
        <v>0.37680000000000002</v>
      </c>
      <c r="K19" s="22">
        <f>(HDI_Data5[[#This Row],[Life Expectancy ]]-20)/65</f>
        <v>0.71307692307692294</v>
      </c>
      <c r="L19" s="22">
        <f>(HDI_Data5[[#This Row],[EYSI]]+HDI_Data5[[#This Row],[MYSI]])/2</f>
        <v>0.48978888888888888</v>
      </c>
      <c r="M19" s="22">
        <f>( LN( HDI_Data5[[#This Row],[GNI per capita (USD)]] ) - LN(100) ) / ( LN(75000) - LN(100) )</f>
        <v>0.58335152701973392</v>
      </c>
      <c r="N19" s="23">
        <f>POWER((HDI_Data5[[#This Row],[Health Index]]*HDI_Data5[[#This Row],[Education Index]]*HDI_Data5[[#This Row],[Income Index]]), 1/3)</f>
        <v>0.58842603945734551</v>
      </c>
    </row>
    <row r="20" spans="1:14" x14ac:dyDescent="0.3">
      <c r="A20" s="15" t="s">
        <v>17</v>
      </c>
      <c r="B20" s="15">
        <v>2018</v>
      </c>
      <c r="C20" s="15" t="s">
        <v>15</v>
      </c>
      <c r="D20" s="15">
        <v>72.25</v>
      </c>
      <c r="E20" s="16">
        <v>12.69</v>
      </c>
      <c r="F20" s="16">
        <v>8.7629999999999999</v>
      </c>
      <c r="G20" s="25">
        <v>612838.15206862811</v>
      </c>
      <c r="H20" s="21">
        <f>G20/VLOOKUP(B20, exchange_rates6[], 2, FALSE)</f>
        <v>11637.640563399698</v>
      </c>
      <c r="I20" s="16">
        <f>HDI_Data5[[#This Row],[Expected Schooling ]]/18</f>
        <v>0.70499999999999996</v>
      </c>
      <c r="J20" s="16">
        <f>HDI_Data5[[#This Row],[Mean schooling ]]/15</f>
        <v>0.58419999999999994</v>
      </c>
      <c r="K20" s="22">
        <f>(HDI_Data5[[#This Row],[Life Expectancy ]]-20)/65</f>
        <v>0.80384615384615388</v>
      </c>
      <c r="L20" s="22">
        <f>(HDI_Data5[[#This Row],[EYSI]]+HDI_Data5[[#This Row],[MYSI]])/2</f>
        <v>0.64459999999999995</v>
      </c>
      <c r="M20" s="22">
        <f>( LN( HDI_Data5[[#This Row],[GNI per capita (USD)]] ) - LN(100) ) / ( LN(75000) - LN(100) )</f>
        <v>0.71854640660461955</v>
      </c>
      <c r="N20" s="23">
        <f>POWER((HDI_Data5[[#This Row],[Health Index]]*HDI_Data5[[#This Row],[Education Index]]*HDI_Data5[[#This Row],[Income Index]]), 1/3)</f>
        <v>0.71940373300932214</v>
      </c>
    </row>
    <row r="21" spans="1:14" x14ac:dyDescent="0.3">
      <c r="A21" s="15" t="s">
        <v>19</v>
      </c>
      <c r="B21" s="15">
        <v>2018</v>
      </c>
      <c r="C21" s="15" t="s">
        <v>15</v>
      </c>
      <c r="D21" s="15">
        <v>69.150000000000006</v>
      </c>
      <c r="E21" s="16">
        <v>12.5</v>
      </c>
      <c r="F21" s="16">
        <v>8.734</v>
      </c>
      <c r="G21" s="25">
        <v>645548.84347580932</v>
      </c>
      <c r="H21" s="21">
        <f>G21/VLOOKUP(B21, exchange_rates6[], 2, FALSE)</f>
        <v>12258.808269574807</v>
      </c>
      <c r="I21" s="16">
        <f>HDI_Data5[[#This Row],[Expected Schooling ]]/18</f>
        <v>0.69444444444444442</v>
      </c>
      <c r="J21" s="16">
        <f>HDI_Data5[[#This Row],[Mean schooling ]]/15</f>
        <v>0.58226666666666671</v>
      </c>
      <c r="K21" s="22">
        <f>(HDI_Data5[[#This Row],[Life Expectancy ]]-20)/65</f>
        <v>0.75615384615384629</v>
      </c>
      <c r="L21" s="22">
        <f>(HDI_Data5[[#This Row],[EYSI]]+HDI_Data5[[#This Row],[MYSI]])/2</f>
        <v>0.63835555555555556</v>
      </c>
      <c r="M21" s="22">
        <f>( LN( HDI_Data5[[#This Row],[GNI per capita (USD)]] ) - LN(100) ) / ( LN(75000) - LN(100) )</f>
        <v>0.7264013046363671</v>
      </c>
      <c r="N21" s="23">
        <f>POWER((HDI_Data5[[#This Row],[Health Index]]*HDI_Data5[[#This Row],[Education Index]]*HDI_Data5[[#This Row],[Income Index]]), 1/3)</f>
        <v>0.70515264803175282</v>
      </c>
    </row>
    <row r="22" spans="1:14" x14ac:dyDescent="0.3">
      <c r="A22" s="15" t="s">
        <v>20</v>
      </c>
      <c r="B22" s="15">
        <v>2018</v>
      </c>
      <c r="C22" s="15" t="s">
        <v>15</v>
      </c>
      <c r="D22" s="15">
        <v>70.680000000000007</v>
      </c>
      <c r="E22" s="16">
        <v>12</v>
      </c>
      <c r="F22" s="16">
        <v>7.8280000000000003</v>
      </c>
      <c r="G22" s="25">
        <v>529588.80991554609</v>
      </c>
      <c r="H22" s="21">
        <f>G22/VLOOKUP(B22, exchange_rates6[], 2, FALSE)</f>
        <v>10056.756739755909</v>
      </c>
      <c r="I22" s="16">
        <f>HDI_Data5[[#This Row],[Expected Schooling ]]/18</f>
        <v>0.66666666666666663</v>
      </c>
      <c r="J22" s="16">
        <f>HDI_Data5[[#This Row],[Mean schooling ]]/15</f>
        <v>0.5218666666666667</v>
      </c>
      <c r="K22" s="22">
        <f>(HDI_Data5[[#This Row],[Life Expectancy ]]-20)/65</f>
        <v>0.7796923076923078</v>
      </c>
      <c r="L22" s="22">
        <f>(HDI_Data5[[#This Row],[EYSI]]+HDI_Data5[[#This Row],[MYSI]])/2</f>
        <v>0.59426666666666672</v>
      </c>
      <c r="M22" s="22">
        <f>( LN( HDI_Data5[[#This Row],[GNI per capita (USD)]] ) - LN(100) ) / ( LN(75000) - LN(100) )</f>
        <v>0.69649226982317436</v>
      </c>
      <c r="N22" s="23">
        <f>POWER((HDI_Data5[[#This Row],[Health Index]]*HDI_Data5[[#This Row],[Education Index]]*HDI_Data5[[#This Row],[Income Index]]), 1/3)</f>
        <v>0.68592027504259667</v>
      </c>
    </row>
    <row r="23" spans="1:14" x14ac:dyDescent="0.3">
      <c r="A23" s="15" t="s">
        <v>21</v>
      </c>
      <c r="B23" s="15">
        <v>2018</v>
      </c>
      <c r="C23" s="15" t="s">
        <v>15</v>
      </c>
      <c r="D23" s="15">
        <v>70.95</v>
      </c>
      <c r="E23" s="16">
        <v>12.06</v>
      </c>
      <c r="F23" s="16">
        <v>8.6880000000000006</v>
      </c>
      <c r="G23" s="25">
        <v>728582.50689672586</v>
      </c>
      <c r="H23" s="21">
        <f>G23/VLOOKUP(B23, exchange_rates6[], 2, FALSE)</f>
        <v>13835.596408976944</v>
      </c>
      <c r="I23" s="16">
        <f>HDI_Data5[[#This Row],[Expected Schooling ]]/18</f>
        <v>0.67</v>
      </c>
      <c r="J23" s="16">
        <f>HDI_Data5[[#This Row],[Mean schooling ]]/15</f>
        <v>0.57920000000000005</v>
      </c>
      <c r="K23" s="22">
        <f>(HDI_Data5[[#This Row],[Life Expectancy ]]-20)/65</f>
        <v>0.78384615384615386</v>
      </c>
      <c r="L23" s="22">
        <f>(HDI_Data5[[#This Row],[EYSI]]+HDI_Data5[[#This Row],[MYSI]])/2</f>
        <v>0.62460000000000004</v>
      </c>
      <c r="M23" s="22">
        <f>( LN( HDI_Data5[[#This Row],[GNI per capita (USD)]] ) - LN(100) ) / ( LN(75000) - LN(100) )</f>
        <v>0.7446790481333182</v>
      </c>
      <c r="N23" s="23">
        <f>POWER((HDI_Data5[[#This Row],[Health Index]]*HDI_Data5[[#This Row],[Education Index]]*HDI_Data5[[#This Row],[Income Index]]), 1/3)</f>
        <v>0.71438772256945282</v>
      </c>
    </row>
    <row r="24" spans="1:14" x14ac:dyDescent="0.3">
      <c r="A24" s="15" t="s">
        <v>22</v>
      </c>
      <c r="B24" s="15">
        <v>2018</v>
      </c>
      <c r="C24" s="15" t="s">
        <v>15</v>
      </c>
      <c r="D24" s="15">
        <v>70.56</v>
      </c>
      <c r="E24" s="16">
        <v>12.46</v>
      </c>
      <c r="F24" s="16">
        <v>9.1120000000000001</v>
      </c>
      <c r="G24" s="25">
        <v>750020.75170383614</v>
      </c>
      <c r="H24" s="21">
        <f>G24/VLOOKUP(B24, exchange_rates6[], 2, FALSE)</f>
        <v>14242.703222632666</v>
      </c>
      <c r="I24" s="16">
        <f>HDI_Data5[[#This Row],[Expected Schooling ]]/18</f>
        <v>0.69222222222222229</v>
      </c>
      <c r="J24" s="16">
        <f>HDI_Data5[[#This Row],[Mean schooling ]]/15</f>
        <v>0.60746666666666671</v>
      </c>
      <c r="K24" s="22">
        <f>(HDI_Data5[[#This Row],[Life Expectancy ]]-20)/65</f>
        <v>0.77784615384615385</v>
      </c>
      <c r="L24" s="22">
        <f>(HDI_Data5[[#This Row],[EYSI]]+HDI_Data5[[#This Row],[MYSI]])/2</f>
        <v>0.64984444444444445</v>
      </c>
      <c r="M24" s="22">
        <f>( LN( HDI_Data5[[#This Row],[GNI per capita (USD)]] ) - LN(100) ) / ( LN(75000) - LN(100) )</f>
        <v>0.74905966434333127</v>
      </c>
      <c r="N24" s="23">
        <f>POWER((HDI_Data5[[#This Row],[Health Index]]*HDI_Data5[[#This Row],[Education Index]]*HDI_Data5[[#This Row],[Income Index]]), 1/3)</f>
        <v>0.7234466505305851</v>
      </c>
    </row>
    <row r="25" spans="1:14" x14ac:dyDescent="0.3">
      <c r="A25" s="15" t="s">
        <v>23</v>
      </c>
      <c r="B25" s="15">
        <v>2018</v>
      </c>
      <c r="C25" s="15" t="s">
        <v>15</v>
      </c>
      <c r="D25" s="15">
        <v>69.12</v>
      </c>
      <c r="E25" s="16">
        <v>12.14</v>
      </c>
      <c r="F25" s="16">
        <v>7.6029999999999998</v>
      </c>
      <c r="G25" s="25">
        <v>456733.8677962955</v>
      </c>
      <c r="H25" s="21">
        <f>G25/VLOOKUP(B25, exchange_rates6[], 2, FALSE)</f>
        <v>8673.2599277686204</v>
      </c>
      <c r="I25" s="16">
        <f>HDI_Data5[[#This Row],[Expected Schooling ]]/18</f>
        <v>0.67444444444444451</v>
      </c>
      <c r="J25" s="16">
        <f>HDI_Data5[[#This Row],[Mean schooling ]]/15</f>
        <v>0.50686666666666669</v>
      </c>
      <c r="K25" s="22">
        <f>(HDI_Data5[[#This Row],[Life Expectancy ]]-20)/65</f>
        <v>0.75569230769230777</v>
      </c>
      <c r="L25" s="22">
        <f>(HDI_Data5[[#This Row],[EYSI]]+HDI_Data5[[#This Row],[MYSI]])/2</f>
        <v>0.5906555555555556</v>
      </c>
      <c r="M25" s="22">
        <f>( LN( HDI_Data5[[#This Row],[GNI per capita (USD)]] ) - LN(100) ) / ( LN(75000) - LN(100) )</f>
        <v>0.6741360215789699</v>
      </c>
      <c r="N25" s="23">
        <f>POWER((HDI_Data5[[#This Row],[Health Index]]*HDI_Data5[[#This Row],[Education Index]]*HDI_Data5[[#This Row],[Income Index]]), 1/3)</f>
        <v>0.67010410150577948</v>
      </c>
    </row>
    <row r="26" spans="1:14" x14ac:dyDescent="0.3">
      <c r="A26" s="15" t="s">
        <v>24</v>
      </c>
      <c r="B26" s="15">
        <v>2018</v>
      </c>
      <c r="C26" s="15" t="s">
        <v>15</v>
      </c>
      <c r="D26" s="15">
        <v>69.72</v>
      </c>
      <c r="E26" s="16">
        <v>12.21</v>
      </c>
      <c r="F26" s="16">
        <v>7.2610000000000001</v>
      </c>
      <c r="G26" s="25">
        <v>431428.10279921431</v>
      </c>
      <c r="H26" s="21">
        <f>G26/VLOOKUP(B26, exchange_rates6[], 2, FALSE)</f>
        <v>8192.7098898445565</v>
      </c>
      <c r="I26" s="16">
        <f>HDI_Data5[[#This Row],[Expected Schooling ]]/18</f>
        <v>0.67833333333333334</v>
      </c>
      <c r="J26" s="16">
        <f>HDI_Data5[[#This Row],[Mean schooling ]]/15</f>
        <v>0.4840666666666667</v>
      </c>
      <c r="K26" s="22">
        <f>(HDI_Data5[[#This Row],[Life Expectancy ]]-20)/65</f>
        <v>0.76492307692307693</v>
      </c>
      <c r="L26" s="22">
        <f>(HDI_Data5[[#This Row],[EYSI]]+HDI_Data5[[#This Row],[MYSI]])/2</f>
        <v>0.58120000000000005</v>
      </c>
      <c r="M26" s="22">
        <f>( LN( HDI_Data5[[#This Row],[GNI per capita (USD)]] ) - LN(100) ) / ( LN(75000) - LN(100) )</f>
        <v>0.66552584489032351</v>
      </c>
      <c r="N26" s="23">
        <f>POWER((HDI_Data5[[#This Row],[Health Index]]*HDI_Data5[[#This Row],[Education Index]]*HDI_Data5[[#This Row],[Income Index]]), 1/3)</f>
        <v>0.6663505565638016</v>
      </c>
    </row>
    <row r="27" spans="1:14" x14ac:dyDescent="0.3">
      <c r="A27" s="15" t="s">
        <v>18</v>
      </c>
      <c r="B27" s="15">
        <v>2018</v>
      </c>
      <c r="C27" s="15" t="s">
        <v>15</v>
      </c>
      <c r="D27" s="15">
        <v>72.430000000000007</v>
      </c>
      <c r="E27" s="16">
        <v>12.8</v>
      </c>
      <c r="F27" s="16">
        <v>10.220000000000001</v>
      </c>
      <c r="G27" s="25">
        <v>853291.20213281224</v>
      </c>
      <c r="H27" s="21">
        <f>G27/VLOOKUP(B27, exchange_rates6[], 2, FALSE)</f>
        <v>16203.782797812615</v>
      </c>
      <c r="I27" s="16">
        <f>HDI_Data5[[#This Row],[Expected Schooling ]]/18</f>
        <v>0.71111111111111114</v>
      </c>
      <c r="J27" s="16">
        <f>HDI_Data5[[#This Row],[Mean schooling ]]/15</f>
        <v>0.68133333333333335</v>
      </c>
      <c r="K27" s="22">
        <f>(HDI_Data5[[#This Row],[Life Expectancy ]]-20)/65</f>
        <v>0.80661538461538473</v>
      </c>
      <c r="L27" s="22">
        <f>(HDI_Data5[[#This Row],[EYSI]]+HDI_Data5[[#This Row],[MYSI]])/2</f>
        <v>0.6962222222222223</v>
      </c>
      <c r="M27" s="22">
        <f>( LN( HDI_Data5[[#This Row],[GNI per capita (USD)]] ) - LN(100) ) / ( LN(75000) - LN(100) )</f>
        <v>0.76854585369132022</v>
      </c>
      <c r="N27" s="23">
        <f>POWER((HDI_Data5[[#This Row],[Health Index]]*HDI_Data5[[#This Row],[Education Index]]*HDI_Data5[[#This Row],[Income Index]]), 1/3)</f>
        <v>0.75572082270546814</v>
      </c>
    </row>
    <row r="28" spans="1:14" x14ac:dyDescent="0.3">
      <c r="A28" s="15" t="s">
        <v>25</v>
      </c>
      <c r="B28" s="15">
        <v>2018</v>
      </c>
      <c r="C28" s="15" t="s">
        <v>15</v>
      </c>
      <c r="D28" s="15">
        <v>68.55</v>
      </c>
      <c r="E28" s="16">
        <v>12.29</v>
      </c>
      <c r="F28" s="16">
        <v>7.8570000000000002</v>
      </c>
      <c r="G28" s="25">
        <v>449933.98638721806</v>
      </c>
      <c r="H28" s="21">
        <f>G28/VLOOKUP(B28, exchange_rates6[], 2, FALSE)</f>
        <v>8544.1319101256759</v>
      </c>
      <c r="I28" s="16">
        <f>HDI_Data5[[#This Row],[Expected Schooling ]]/18</f>
        <v>0.68277777777777771</v>
      </c>
      <c r="J28" s="16">
        <f>HDI_Data5[[#This Row],[Mean schooling ]]/15</f>
        <v>0.52380000000000004</v>
      </c>
      <c r="K28" s="22">
        <f>(HDI_Data5[[#This Row],[Life Expectancy ]]-20)/65</f>
        <v>0.74692307692307691</v>
      </c>
      <c r="L28" s="22">
        <f>(HDI_Data5[[#This Row],[EYSI]]+HDI_Data5[[#This Row],[MYSI]])/2</f>
        <v>0.60328888888888887</v>
      </c>
      <c r="M28" s="22">
        <f>( LN( HDI_Data5[[#This Row],[GNI per capita (USD)]] ) - LN(100) ) / ( LN(75000) - LN(100) )</f>
        <v>0.67187018560827361</v>
      </c>
      <c r="N28" s="23">
        <f>POWER((HDI_Data5[[#This Row],[Health Index]]*HDI_Data5[[#This Row],[Education Index]]*HDI_Data5[[#This Row],[Income Index]]), 1/3)</f>
        <v>0.67147346948555253</v>
      </c>
    </row>
    <row r="29" spans="1:14" x14ac:dyDescent="0.3">
      <c r="A29" s="15" t="s">
        <v>26</v>
      </c>
      <c r="B29" s="15">
        <v>2018</v>
      </c>
      <c r="C29" s="15" t="s">
        <v>15</v>
      </c>
      <c r="D29" s="15">
        <v>67.62</v>
      </c>
      <c r="E29" s="16">
        <v>12.48</v>
      </c>
      <c r="F29" s="16">
        <v>8.0250000000000004</v>
      </c>
      <c r="G29" s="25">
        <v>479191.77138471947</v>
      </c>
      <c r="H29" s="21">
        <f>G29/VLOOKUP(B29, exchange_rates6[], 2, FALSE)</f>
        <v>9099.7298022164741</v>
      </c>
      <c r="I29" s="16">
        <f>HDI_Data5[[#This Row],[Expected Schooling ]]/18</f>
        <v>0.69333333333333336</v>
      </c>
      <c r="J29" s="16">
        <f>HDI_Data5[[#This Row],[Mean schooling ]]/15</f>
        <v>0.53500000000000003</v>
      </c>
      <c r="K29" s="22">
        <f>(HDI_Data5[[#This Row],[Life Expectancy ]]-20)/65</f>
        <v>0.73261538461538467</v>
      </c>
      <c r="L29" s="22">
        <f>(HDI_Data5[[#This Row],[EYSI]]+HDI_Data5[[#This Row],[MYSI]])/2</f>
        <v>0.61416666666666675</v>
      </c>
      <c r="M29" s="22">
        <f>( LN( HDI_Data5[[#This Row],[GNI per capita (USD)]] ) - LN(100) ) / ( LN(75000) - LN(100) )</f>
        <v>0.68138669668519836</v>
      </c>
      <c r="N29" s="23">
        <f>POWER((HDI_Data5[[#This Row],[Health Index]]*HDI_Data5[[#This Row],[Education Index]]*HDI_Data5[[#This Row],[Income Index]]), 1/3)</f>
        <v>0.67429816137801568</v>
      </c>
    </row>
    <row r="30" spans="1:14" x14ac:dyDescent="0.3">
      <c r="A30" s="15" t="s">
        <v>27</v>
      </c>
      <c r="B30" s="15">
        <v>2018</v>
      </c>
      <c r="C30" s="15" t="s">
        <v>15</v>
      </c>
      <c r="D30" s="15">
        <v>69.52</v>
      </c>
      <c r="E30" s="16">
        <v>12.36</v>
      </c>
      <c r="F30" s="16">
        <v>7.8159999999999998</v>
      </c>
      <c r="G30" s="25">
        <v>531179.96187987563</v>
      </c>
      <c r="H30" s="21">
        <f>G30/VLOOKUP(B30, exchange_rates6[], 2, FALSE)</f>
        <v>10086.972310669877</v>
      </c>
      <c r="I30" s="16">
        <f>HDI_Data5[[#This Row],[Expected Schooling ]]/18</f>
        <v>0.68666666666666665</v>
      </c>
      <c r="J30" s="16">
        <f>HDI_Data5[[#This Row],[Mean schooling ]]/15</f>
        <v>0.52106666666666668</v>
      </c>
      <c r="K30" s="22">
        <f>(HDI_Data5[[#This Row],[Life Expectancy ]]-20)/65</f>
        <v>0.76184615384615384</v>
      </c>
      <c r="L30" s="22">
        <f>(HDI_Data5[[#This Row],[EYSI]]+HDI_Data5[[#This Row],[MYSI]])/2</f>
        <v>0.60386666666666666</v>
      </c>
      <c r="M30" s="22">
        <f>( LN( HDI_Data5[[#This Row],[GNI per capita (USD)]] ) - LN(100) ) / ( LN(75000) - LN(100) )</f>
        <v>0.69694543701731371</v>
      </c>
      <c r="N30" s="23">
        <f>POWER((HDI_Data5[[#This Row],[Health Index]]*HDI_Data5[[#This Row],[Education Index]]*HDI_Data5[[#This Row],[Income Index]]), 1/3)</f>
        <v>0.6844405084402565</v>
      </c>
    </row>
    <row r="31" spans="1:14" x14ac:dyDescent="0.3">
      <c r="A31" s="15" t="s">
        <v>28</v>
      </c>
      <c r="B31" s="15">
        <v>2018</v>
      </c>
      <c r="C31" s="15" t="s">
        <v>15</v>
      </c>
      <c r="D31" s="15">
        <v>69.22</v>
      </c>
      <c r="E31" s="16">
        <v>12.84</v>
      </c>
      <c r="F31" s="16">
        <v>7.4370000000000003</v>
      </c>
      <c r="G31" s="25">
        <v>484976.71287112357</v>
      </c>
      <c r="H31" s="21">
        <f>G31/VLOOKUP(B31, exchange_rates6[], 2, FALSE)</f>
        <v>9209.584368992093</v>
      </c>
      <c r="I31" s="16">
        <f>HDI_Data5[[#This Row],[Expected Schooling ]]/18</f>
        <v>0.71333333333333337</v>
      </c>
      <c r="J31" s="16">
        <f>HDI_Data5[[#This Row],[Mean schooling ]]/15</f>
        <v>0.49580000000000002</v>
      </c>
      <c r="K31" s="22">
        <f>(HDI_Data5[[#This Row],[Life Expectancy ]]-20)/65</f>
        <v>0.75723076923076926</v>
      </c>
      <c r="L31" s="22">
        <f>(HDI_Data5[[#This Row],[EYSI]]+HDI_Data5[[#This Row],[MYSI]])/2</f>
        <v>0.6045666666666667</v>
      </c>
      <c r="M31" s="22">
        <f>( LN( HDI_Data5[[#This Row],[GNI per capita (USD)]] ) - LN(100) ) / ( LN(75000) - LN(100) )</f>
        <v>0.68319936546175564</v>
      </c>
      <c r="N31" s="23">
        <f>POWER((HDI_Data5[[#This Row],[Health Index]]*HDI_Data5[[#This Row],[Education Index]]*HDI_Data5[[#This Row],[Income Index]]), 1/3)</f>
        <v>0.67879708470159006</v>
      </c>
    </row>
    <row r="32" spans="1:14" x14ac:dyDescent="0.3">
      <c r="A32" s="15" t="s">
        <v>29</v>
      </c>
      <c r="B32" s="15">
        <v>2018</v>
      </c>
      <c r="C32" s="15" t="s">
        <v>15</v>
      </c>
      <c r="D32" s="15">
        <v>69.48</v>
      </c>
      <c r="E32" s="16">
        <v>12.32</v>
      </c>
      <c r="F32" s="16">
        <v>7.9790000000000001</v>
      </c>
      <c r="G32" s="25">
        <v>507299.15307014569</v>
      </c>
      <c r="H32" s="21">
        <f>G32/VLOOKUP(B32, exchange_rates6[], 2, FALSE)</f>
        <v>9633.48182814557</v>
      </c>
      <c r="I32" s="16">
        <f>HDI_Data5[[#This Row],[Expected Schooling ]]/18</f>
        <v>0.68444444444444441</v>
      </c>
      <c r="J32" s="16">
        <f>HDI_Data5[[#This Row],[Mean schooling ]]/15</f>
        <v>0.53193333333333337</v>
      </c>
      <c r="K32" s="22">
        <f>(HDI_Data5[[#This Row],[Life Expectancy ]]-20)/65</f>
        <v>0.76123076923076927</v>
      </c>
      <c r="L32" s="22">
        <f>(HDI_Data5[[#This Row],[EYSI]]+HDI_Data5[[#This Row],[MYSI]])/2</f>
        <v>0.60818888888888889</v>
      </c>
      <c r="M32" s="22">
        <f>( LN( HDI_Data5[[#This Row],[GNI per capita (USD)]] ) - LN(100) ) / ( LN(75000) - LN(100) )</f>
        <v>0.68999687337384485</v>
      </c>
      <c r="N32" s="23">
        <f>POWER((HDI_Data5[[#This Row],[Health Index]]*HDI_Data5[[#This Row],[Education Index]]*HDI_Data5[[#This Row],[Income Index]]), 1/3)</f>
        <v>0.68359778408168359</v>
      </c>
    </row>
    <row r="33" spans="1:14" x14ac:dyDescent="0.3">
      <c r="A33" s="15" t="s">
        <v>30</v>
      </c>
      <c r="B33" s="15">
        <v>2018</v>
      </c>
      <c r="C33" s="15" t="s">
        <v>15</v>
      </c>
      <c r="D33" s="15">
        <v>70.58</v>
      </c>
      <c r="E33" s="16">
        <v>13.13</v>
      </c>
      <c r="F33" s="16">
        <v>7.77</v>
      </c>
      <c r="G33" s="25">
        <v>449933.98638721806</v>
      </c>
      <c r="H33" s="21">
        <f>G33/VLOOKUP(B33, exchange_rates6[], 2, FALSE)</f>
        <v>8544.1319101256759</v>
      </c>
      <c r="I33" s="16">
        <f>HDI_Data5[[#This Row],[Expected Schooling ]]/18</f>
        <v>0.72944444444444445</v>
      </c>
      <c r="J33" s="16">
        <f>HDI_Data5[[#This Row],[Mean schooling ]]/15</f>
        <v>0.51800000000000002</v>
      </c>
      <c r="K33" s="22">
        <f>(HDI_Data5[[#This Row],[Life Expectancy ]]-20)/65</f>
        <v>0.77815384615384608</v>
      </c>
      <c r="L33" s="22">
        <f>(HDI_Data5[[#This Row],[EYSI]]+HDI_Data5[[#This Row],[MYSI]])/2</f>
        <v>0.62372222222222229</v>
      </c>
      <c r="M33" s="22">
        <f>( LN( HDI_Data5[[#This Row],[GNI per capita (USD)]] ) - LN(100) ) / ( LN(75000) - LN(100) )</f>
        <v>0.67187018560827361</v>
      </c>
      <c r="N33" s="23">
        <f>POWER((HDI_Data5[[#This Row],[Health Index]]*HDI_Data5[[#This Row],[Education Index]]*HDI_Data5[[#This Row],[Income Index]]), 1/3)</f>
        <v>0.68830462088590894</v>
      </c>
    </row>
    <row r="34" spans="1:14" x14ac:dyDescent="0.3">
      <c r="A34" s="15" t="s">
        <v>31</v>
      </c>
      <c r="B34" s="15">
        <v>2018</v>
      </c>
      <c r="C34" s="15" t="s">
        <v>15</v>
      </c>
      <c r="D34" s="15">
        <v>67.22</v>
      </c>
      <c r="E34" s="16">
        <v>12.11</v>
      </c>
      <c r="F34" s="16">
        <v>7.4340000000000002</v>
      </c>
      <c r="G34" s="25">
        <v>423308.35075815755</v>
      </c>
      <c r="H34" s="21">
        <f>G34/VLOOKUP(B34, exchange_rates6[], 2, FALSE)</f>
        <v>8038.5178647580251</v>
      </c>
      <c r="I34" s="16">
        <f>HDI_Data5[[#This Row],[Expected Schooling ]]/18</f>
        <v>0.6727777777777777</v>
      </c>
      <c r="J34" s="16">
        <f>HDI_Data5[[#This Row],[Mean schooling ]]/15</f>
        <v>0.49559999999999998</v>
      </c>
      <c r="K34" s="22">
        <f>(HDI_Data5[[#This Row],[Life Expectancy ]]-20)/65</f>
        <v>0.72646153846153849</v>
      </c>
      <c r="L34" s="22">
        <f>(HDI_Data5[[#This Row],[EYSI]]+HDI_Data5[[#This Row],[MYSI]])/2</f>
        <v>0.58418888888888887</v>
      </c>
      <c r="M34" s="22">
        <f>( LN( HDI_Data5[[#This Row],[GNI per capita (USD)]] ) - LN(100) ) / ( LN(75000) - LN(100) )</f>
        <v>0.66265578599410824</v>
      </c>
      <c r="N34" s="23">
        <f>POWER((HDI_Data5[[#This Row],[Health Index]]*HDI_Data5[[#This Row],[Education Index]]*HDI_Data5[[#This Row],[Income Index]]), 1/3)</f>
        <v>0.65516592883173119</v>
      </c>
    </row>
    <row r="35" spans="1:14" x14ac:dyDescent="0.3">
      <c r="A35" s="15" t="s">
        <v>32</v>
      </c>
      <c r="B35" s="15">
        <v>2018</v>
      </c>
      <c r="C35" s="15" t="s">
        <v>15</v>
      </c>
      <c r="D35" s="15">
        <v>70.08</v>
      </c>
      <c r="E35" s="16">
        <v>12.44</v>
      </c>
      <c r="F35" s="16">
        <v>7.6719999999999997</v>
      </c>
      <c r="G35" s="25">
        <v>530118.66360815417</v>
      </c>
      <c r="H35" s="21">
        <f>G35/VLOOKUP(B35, exchange_rates6[], 2, FALSE)</f>
        <v>10066.818526550593</v>
      </c>
      <c r="I35" s="16">
        <f>HDI_Data5[[#This Row],[Expected Schooling ]]/18</f>
        <v>0.69111111111111112</v>
      </c>
      <c r="J35" s="16">
        <f>HDI_Data5[[#This Row],[Mean schooling ]]/15</f>
        <v>0.51146666666666663</v>
      </c>
      <c r="K35" s="22">
        <f>(HDI_Data5[[#This Row],[Life Expectancy ]]-20)/65</f>
        <v>0.77046153846153842</v>
      </c>
      <c r="L35" s="22">
        <f>(HDI_Data5[[#This Row],[EYSI]]+HDI_Data5[[#This Row],[MYSI]])/2</f>
        <v>0.60128888888888887</v>
      </c>
      <c r="M35" s="22">
        <f>( LN( HDI_Data5[[#This Row],[GNI per capita (USD)]] ) - LN(100) ) / ( LN(75000) - LN(100) )</f>
        <v>0.69664332555455433</v>
      </c>
      <c r="N35" s="23">
        <f>POWER((HDI_Data5[[#This Row],[Health Index]]*HDI_Data5[[#This Row],[Education Index]]*HDI_Data5[[#This Row],[Income Index]]), 1/3)</f>
        <v>0.68593275330636871</v>
      </c>
    </row>
    <row r="36" spans="1:14" x14ac:dyDescent="0.3">
      <c r="A36" s="15" t="s">
        <v>16</v>
      </c>
      <c r="B36" s="15">
        <v>2019</v>
      </c>
      <c r="C36" s="15" t="s">
        <v>14</v>
      </c>
      <c r="D36" s="15">
        <v>70.31</v>
      </c>
      <c r="E36" s="16">
        <v>12.31</v>
      </c>
      <c r="F36" s="16">
        <v>6.5389999999999997</v>
      </c>
      <c r="G36" s="25">
        <v>185285.13474345289</v>
      </c>
      <c r="H36" s="21">
        <f>G36/VLOOKUP(B36, exchange_rates6[], 2, FALSE)</f>
        <v>3576.9331031554611</v>
      </c>
      <c r="I36" s="16">
        <f>HDI_Data5[[#This Row],[Expected Schooling ]]/18</f>
        <v>0.68388888888888888</v>
      </c>
      <c r="J36" s="16">
        <f>HDI_Data5[[#This Row],[Mean schooling ]]/15</f>
        <v>0.43593333333333334</v>
      </c>
      <c r="K36" s="22">
        <f>(HDI_Data5[[#This Row],[Life Expectancy ]]-20)/65</f>
        <v>0.77400000000000002</v>
      </c>
      <c r="L36" s="22">
        <f>(HDI_Data5[[#This Row],[EYSI]]+HDI_Data5[[#This Row],[MYSI]])/2</f>
        <v>0.55991111111111114</v>
      </c>
      <c r="M36" s="22">
        <f>( LN( HDI_Data5[[#This Row],[GNI per capita (USD)]] ) - LN(100) ) / ( LN(75000) - LN(100) )</f>
        <v>0.54034007473300849</v>
      </c>
      <c r="N36" s="23">
        <f>POWER((HDI_Data5[[#This Row],[Health Index]]*HDI_Data5[[#This Row],[Education Index]]*HDI_Data5[[#This Row],[Income Index]]), 1/3)</f>
        <v>0.61637129976612726</v>
      </c>
    </row>
    <row r="37" spans="1:14" x14ac:dyDescent="0.3">
      <c r="A37" s="15" t="s">
        <v>17</v>
      </c>
      <c r="B37" s="15">
        <v>2019</v>
      </c>
      <c r="C37" s="15" t="s">
        <v>14</v>
      </c>
      <c r="D37" s="15">
        <v>76.489999999999995</v>
      </c>
      <c r="E37" s="16">
        <v>14.27</v>
      </c>
      <c r="F37" s="16">
        <v>9.93</v>
      </c>
      <c r="G37" s="25">
        <v>430047.60309225792</v>
      </c>
      <c r="H37" s="21">
        <f>G37/VLOOKUP(B37, exchange_rates6[], 2, FALSE)</f>
        <v>8302.0772797733189</v>
      </c>
      <c r="I37" s="16">
        <f>HDI_Data5[[#This Row],[Expected Schooling ]]/18</f>
        <v>0.7927777777777778</v>
      </c>
      <c r="J37" s="16">
        <f>HDI_Data5[[#This Row],[Mean schooling ]]/15</f>
        <v>0.66200000000000003</v>
      </c>
      <c r="K37" s="22">
        <f>(HDI_Data5[[#This Row],[Life Expectancy ]]-20)/65</f>
        <v>0.86907692307692297</v>
      </c>
      <c r="L37" s="22">
        <f>(HDI_Data5[[#This Row],[EYSI]]+HDI_Data5[[#This Row],[MYSI]])/2</f>
        <v>0.72738888888888886</v>
      </c>
      <c r="M37" s="22">
        <f>( LN( HDI_Data5[[#This Row],[GNI per capita (USD)]] ) - LN(100) ) / ( LN(75000) - LN(100) )</f>
        <v>0.66752900055476705</v>
      </c>
      <c r="N37" s="23">
        <f>POWER((HDI_Data5[[#This Row],[Health Index]]*HDI_Data5[[#This Row],[Education Index]]*HDI_Data5[[#This Row],[Income Index]]), 1/3)</f>
        <v>0.7500640312378819</v>
      </c>
    </row>
    <row r="38" spans="1:14" x14ac:dyDescent="0.3">
      <c r="A38" s="15" t="s">
        <v>19</v>
      </c>
      <c r="B38" s="15">
        <v>2019</v>
      </c>
      <c r="C38" s="15" t="s">
        <v>14</v>
      </c>
      <c r="D38" s="15">
        <v>72.34</v>
      </c>
      <c r="E38" s="16">
        <v>13.46</v>
      </c>
      <c r="F38" s="16">
        <v>9.5909999999999993</v>
      </c>
      <c r="G38" s="25">
        <v>447598.17871403438</v>
      </c>
      <c r="H38" s="21">
        <f>G38/VLOOKUP(B38, exchange_rates6[], 2, FALSE)</f>
        <v>8640.8914809659145</v>
      </c>
      <c r="I38" s="16">
        <f>HDI_Data5[[#This Row],[Expected Schooling ]]/18</f>
        <v>0.74777777777777787</v>
      </c>
      <c r="J38" s="16">
        <f>HDI_Data5[[#This Row],[Mean schooling ]]/15</f>
        <v>0.63939999999999997</v>
      </c>
      <c r="K38" s="22">
        <f>(HDI_Data5[[#This Row],[Life Expectancy ]]-20)/65</f>
        <v>0.80523076923076931</v>
      </c>
      <c r="L38" s="22">
        <f>(HDI_Data5[[#This Row],[EYSI]]+HDI_Data5[[#This Row],[MYSI]])/2</f>
        <v>0.69358888888888892</v>
      </c>
      <c r="M38" s="22">
        <f>( LN( HDI_Data5[[#This Row],[GNI per capita (USD)]] ) - LN(100) ) / ( LN(75000) - LN(100) )</f>
        <v>0.67357122980995787</v>
      </c>
      <c r="N38" s="23">
        <f>POWER((HDI_Data5[[#This Row],[Health Index]]*HDI_Data5[[#This Row],[Education Index]]*HDI_Data5[[#This Row],[Income Index]]), 1/3)</f>
        <v>0.72188608852853842</v>
      </c>
    </row>
    <row r="39" spans="1:14" x14ac:dyDescent="0.3">
      <c r="A39" s="15" t="s">
        <v>20</v>
      </c>
      <c r="B39" s="15">
        <v>2019</v>
      </c>
      <c r="C39" s="15" t="s">
        <v>14</v>
      </c>
      <c r="D39" s="15">
        <v>75.14</v>
      </c>
      <c r="E39" s="16">
        <v>13.88</v>
      </c>
      <c r="F39" s="16">
        <v>8.657</v>
      </c>
      <c r="G39" s="25">
        <v>379136.35170975653</v>
      </c>
      <c r="H39" s="21">
        <f>G39/VLOOKUP(B39, exchange_rates6[], 2, FALSE)</f>
        <v>7319.2345889914395</v>
      </c>
      <c r="I39" s="16">
        <f>HDI_Data5[[#This Row],[Expected Schooling ]]/18</f>
        <v>0.77111111111111119</v>
      </c>
      <c r="J39" s="16">
        <f>HDI_Data5[[#This Row],[Mean schooling ]]/15</f>
        <v>0.57713333333333339</v>
      </c>
      <c r="K39" s="22">
        <f>(HDI_Data5[[#This Row],[Life Expectancy ]]-20)/65</f>
        <v>0.84830769230769232</v>
      </c>
      <c r="L39" s="22">
        <f>(HDI_Data5[[#This Row],[EYSI]]+HDI_Data5[[#This Row],[MYSI]])/2</f>
        <v>0.67412222222222229</v>
      </c>
      <c r="M39" s="22">
        <f>( LN( HDI_Data5[[#This Row],[GNI per capita (USD)]] ) - LN(100) ) / ( LN(75000) - LN(100) )</f>
        <v>0.64849597840091755</v>
      </c>
      <c r="N39" s="23">
        <f>POWER((HDI_Data5[[#This Row],[Health Index]]*HDI_Data5[[#This Row],[Education Index]]*HDI_Data5[[#This Row],[Income Index]]), 1/3)</f>
        <v>0.71845534267473254</v>
      </c>
    </row>
    <row r="40" spans="1:14" x14ac:dyDescent="0.3">
      <c r="A40" s="15" t="s">
        <v>21</v>
      </c>
      <c r="B40" s="15">
        <v>2019</v>
      </c>
      <c r="C40" s="15" t="s">
        <v>14</v>
      </c>
      <c r="D40" s="15">
        <v>74.8</v>
      </c>
      <c r="E40" s="16">
        <v>13.16</v>
      </c>
      <c r="F40" s="16">
        <v>9.2970000000000006</v>
      </c>
      <c r="G40" s="25">
        <v>499144.63698329392</v>
      </c>
      <c r="H40" s="21">
        <f>G40/VLOOKUP(B40, exchange_rates6[], 2, FALSE)</f>
        <v>9635.9968529593425</v>
      </c>
      <c r="I40" s="16">
        <f>HDI_Data5[[#This Row],[Expected Schooling ]]/18</f>
        <v>0.73111111111111116</v>
      </c>
      <c r="J40" s="16">
        <f>HDI_Data5[[#This Row],[Mean schooling ]]/15</f>
        <v>0.61980000000000002</v>
      </c>
      <c r="K40" s="22">
        <f>(HDI_Data5[[#This Row],[Life Expectancy ]]-20)/65</f>
        <v>0.84307692307692306</v>
      </c>
      <c r="L40" s="22">
        <f>(HDI_Data5[[#This Row],[EYSI]]+HDI_Data5[[#This Row],[MYSI]])/2</f>
        <v>0.67545555555555559</v>
      </c>
      <c r="M40" s="22">
        <f>( LN( HDI_Data5[[#This Row],[GNI per capita (USD)]] ) - LN(100) ) / ( LN(75000) - LN(100) )</f>
        <v>0.69003630453035181</v>
      </c>
      <c r="N40" s="23">
        <f>POWER((HDI_Data5[[#This Row],[Health Index]]*HDI_Data5[[#This Row],[Education Index]]*HDI_Data5[[#This Row],[Income Index]]), 1/3)</f>
        <v>0.73245110779066791</v>
      </c>
    </row>
    <row r="41" spans="1:14" x14ac:dyDescent="0.3">
      <c r="A41" s="15" t="s">
        <v>22</v>
      </c>
      <c r="B41" s="15">
        <v>2019</v>
      </c>
      <c r="C41" s="15" t="s">
        <v>14</v>
      </c>
      <c r="D41" s="15">
        <v>74.290000000000006</v>
      </c>
      <c r="E41" s="16">
        <v>13.32</v>
      </c>
      <c r="F41" s="16">
        <v>9.718</v>
      </c>
      <c r="G41" s="25">
        <v>508210.58923991304</v>
      </c>
      <c r="H41" s="21">
        <f>G41/VLOOKUP(B41, exchange_rates6[], 2, FALSE)</f>
        <v>9811.0152362917579</v>
      </c>
      <c r="I41" s="16">
        <f>HDI_Data5[[#This Row],[Expected Schooling ]]/18</f>
        <v>0.74</v>
      </c>
      <c r="J41" s="16">
        <f>HDI_Data5[[#This Row],[Mean schooling ]]/15</f>
        <v>0.6478666666666667</v>
      </c>
      <c r="K41" s="22">
        <f>(HDI_Data5[[#This Row],[Life Expectancy ]]-20)/65</f>
        <v>0.83523076923076933</v>
      </c>
      <c r="L41" s="22">
        <f>(HDI_Data5[[#This Row],[EYSI]]+HDI_Data5[[#This Row],[MYSI]])/2</f>
        <v>0.69393333333333329</v>
      </c>
      <c r="M41" s="22">
        <f>( LN( HDI_Data5[[#This Row],[GNI per capita (USD)]] ) - LN(100) ) / ( LN(75000) - LN(100) )</f>
        <v>0.69275530769518701</v>
      </c>
      <c r="N41" s="23">
        <f>POWER((HDI_Data5[[#This Row],[Health Index]]*HDI_Data5[[#This Row],[Education Index]]*HDI_Data5[[#This Row],[Income Index]]), 1/3)</f>
        <v>0.73773666047860753</v>
      </c>
    </row>
    <row r="42" spans="1:14" x14ac:dyDescent="0.3">
      <c r="A42" s="15" t="s">
        <v>23</v>
      </c>
      <c r="B42" s="15">
        <v>2019</v>
      </c>
      <c r="C42" s="15" t="s">
        <v>14</v>
      </c>
      <c r="D42" s="15">
        <v>72.91</v>
      </c>
      <c r="E42" s="16">
        <v>13.63</v>
      </c>
      <c r="F42" s="16">
        <v>8.6020000000000003</v>
      </c>
      <c r="G42" s="25">
        <v>326325.68206928344</v>
      </c>
      <c r="H42" s="21">
        <f>G42/VLOOKUP(B42, exchange_rates6[], 2, FALSE)</f>
        <v>6299.7235920711091</v>
      </c>
      <c r="I42" s="16">
        <f>HDI_Data5[[#This Row],[Expected Schooling ]]/18</f>
        <v>0.75722222222222224</v>
      </c>
      <c r="J42" s="16">
        <f>HDI_Data5[[#This Row],[Mean schooling ]]/15</f>
        <v>0.57346666666666668</v>
      </c>
      <c r="K42" s="22">
        <f>(HDI_Data5[[#This Row],[Life Expectancy ]]-20)/65</f>
        <v>0.81399999999999995</v>
      </c>
      <c r="L42" s="22">
        <f>(HDI_Data5[[#This Row],[EYSI]]+HDI_Data5[[#This Row],[MYSI]])/2</f>
        <v>0.66534444444444452</v>
      </c>
      <c r="M42" s="22">
        <f>( LN( HDI_Data5[[#This Row],[GNI per capita (USD)]] ) - LN(100) ) / ( LN(75000) - LN(100) )</f>
        <v>0.62583761869395338</v>
      </c>
      <c r="N42" s="23">
        <f>POWER((HDI_Data5[[#This Row],[Health Index]]*HDI_Data5[[#This Row],[Education Index]]*HDI_Data5[[#This Row],[Income Index]]), 1/3)</f>
        <v>0.6972323591018933</v>
      </c>
    </row>
    <row r="43" spans="1:14" x14ac:dyDescent="0.3">
      <c r="A43" s="15" t="s">
        <v>24</v>
      </c>
      <c r="B43" s="15">
        <v>2019</v>
      </c>
      <c r="C43" s="15" t="s">
        <v>14</v>
      </c>
      <c r="D43" s="15">
        <v>73.12</v>
      </c>
      <c r="E43" s="16">
        <v>13.52</v>
      </c>
      <c r="F43" s="16">
        <v>7.94</v>
      </c>
      <c r="G43" s="25">
        <v>308862.41147436737</v>
      </c>
      <c r="H43" s="21">
        <f>G43/VLOOKUP(B43, exchange_rates6[], 2, FALSE)</f>
        <v>5962.5948161074784</v>
      </c>
      <c r="I43" s="16">
        <f>HDI_Data5[[#This Row],[Expected Schooling ]]/18</f>
        <v>0.75111111111111106</v>
      </c>
      <c r="J43" s="16">
        <f>HDI_Data5[[#This Row],[Mean schooling ]]/15</f>
        <v>0.52933333333333332</v>
      </c>
      <c r="K43" s="22">
        <f>(HDI_Data5[[#This Row],[Life Expectancy ]]-20)/65</f>
        <v>0.81723076923076932</v>
      </c>
      <c r="L43" s="22">
        <f>(HDI_Data5[[#This Row],[EYSI]]+HDI_Data5[[#This Row],[MYSI]])/2</f>
        <v>0.64022222222222225</v>
      </c>
      <c r="M43" s="22">
        <f>( LN( HDI_Data5[[#This Row],[GNI per capita (USD)]] ) - LN(100) ) / ( LN(75000) - LN(100) )</f>
        <v>0.61752955346806659</v>
      </c>
      <c r="N43" s="23">
        <f>POWER((HDI_Data5[[#This Row],[Health Index]]*HDI_Data5[[#This Row],[Education Index]]*HDI_Data5[[#This Row],[Income Index]]), 1/3)</f>
        <v>0.68619002467196155</v>
      </c>
    </row>
    <row r="44" spans="1:14" x14ac:dyDescent="0.3">
      <c r="A44" s="15" t="s">
        <v>18</v>
      </c>
      <c r="B44" s="15">
        <v>2019</v>
      </c>
      <c r="C44" s="15" t="s">
        <v>14</v>
      </c>
      <c r="D44" s="15">
        <v>76.8</v>
      </c>
      <c r="E44" s="16">
        <v>13.65</v>
      </c>
      <c r="F44" s="16">
        <v>10.7</v>
      </c>
      <c r="G44" s="25">
        <v>557184.21225160477</v>
      </c>
      <c r="H44" s="21">
        <f>G44/VLOOKUP(B44, exchange_rates6[], 2, FALSE)</f>
        <v>10756.451973969204</v>
      </c>
      <c r="I44" s="16">
        <f>HDI_Data5[[#This Row],[Expected Schooling ]]/18</f>
        <v>0.7583333333333333</v>
      </c>
      <c r="J44" s="16">
        <f>HDI_Data5[[#This Row],[Mean schooling ]]/15</f>
        <v>0.71333333333333326</v>
      </c>
      <c r="K44" s="22">
        <f>(HDI_Data5[[#This Row],[Life Expectancy ]]-20)/65</f>
        <v>0.87384615384615383</v>
      </c>
      <c r="L44" s="22">
        <f>(HDI_Data5[[#This Row],[EYSI]]+HDI_Data5[[#This Row],[MYSI]])/2</f>
        <v>0.73583333333333334</v>
      </c>
      <c r="M44" s="22">
        <f>( LN( HDI_Data5[[#This Row],[GNI per capita (USD)]] ) - LN(100) ) / ( LN(75000) - LN(100) )</f>
        <v>0.70665243498212538</v>
      </c>
      <c r="N44" s="23">
        <f>POWER((HDI_Data5[[#This Row],[Health Index]]*HDI_Data5[[#This Row],[Education Index]]*HDI_Data5[[#This Row],[Income Index]]), 1/3)</f>
        <v>0.76878830030464618</v>
      </c>
    </row>
    <row r="45" spans="1:14" x14ac:dyDescent="0.3">
      <c r="A45" s="15" t="s">
        <v>25</v>
      </c>
      <c r="B45" s="15">
        <v>2019</v>
      </c>
      <c r="C45" s="15" t="s">
        <v>14</v>
      </c>
      <c r="D45" s="15">
        <v>72.44</v>
      </c>
      <c r="E45" s="16">
        <v>13.2</v>
      </c>
      <c r="F45" s="16">
        <v>8.673</v>
      </c>
      <c r="G45" s="25">
        <v>325348.17202127998</v>
      </c>
      <c r="H45" s="21">
        <f>G45/VLOOKUP(B45, exchange_rates6[], 2, FALSE)</f>
        <v>6280.8527417235518</v>
      </c>
      <c r="I45" s="16">
        <f>HDI_Data5[[#This Row],[Expected Schooling ]]/18</f>
        <v>0.73333333333333328</v>
      </c>
      <c r="J45" s="16">
        <f>HDI_Data5[[#This Row],[Mean schooling ]]/15</f>
        <v>0.57820000000000005</v>
      </c>
      <c r="K45" s="22">
        <f>(HDI_Data5[[#This Row],[Life Expectancy ]]-20)/65</f>
        <v>0.80676923076923068</v>
      </c>
      <c r="L45" s="22">
        <f>(HDI_Data5[[#This Row],[EYSI]]+HDI_Data5[[#This Row],[MYSI]])/2</f>
        <v>0.65576666666666661</v>
      </c>
      <c r="M45" s="22">
        <f>( LN( HDI_Data5[[#This Row],[GNI per capita (USD)]] ) - LN(100) ) / ( LN(75000) - LN(100) )</f>
        <v>0.62538445149981414</v>
      </c>
      <c r="N45" s="23">
        <f>POWER((HDI_Data5[[#This Row],[Health Index]]*HDI_Data5[[#This Row],[Education Index]]*HDI_Data5[[#This Row],[Income Index]]), 1/3)</f>
        <v>0.69164288610728342</v>
      </c>
    </row>
    <row r="46" spans="1:14" x14ac:dyDescent="0.3">
      <c r="A46" s="15" t="s">
        <v>26</v>
      </c>
      <c r="B46" s="15">
        <v>2019</v>
      </c>
      <c r="C46" s="15" t="s">
        <v>14</v>
      </c>
      <c r="D46" s="15">
        <v>71.8</v>
      </c>
      <c r="E46" s="16">
        <v>13.7</v>
      </c>
      <c r="F46" s="16">
        <v>8.968</v>
      </c>
      <c r="G46" s="25">
        <v>345812.21877420729</v>
      </c>
      <c r="H46" s="21">
        <f>G46/VLOOKUP(B46, exchange_rates6[], 2, FALSE)</f>
        <v>6675.9115593476317</v>
      </c>
      <c r="I46" s="16">
        <f>HDI_Data5[[#This Row],[Expected Schooling ]]/18</f>
        <v>0.76111111111111107</v>
      </c>
      <c r="J46" s="16">
        <f>HDI_Data5[[#This Row],[Mean schooling ]]/15</f>
        <v>0.59786666666666666</v>
      </c>
      <c r="K46" s="22">
        <f>(HDI_Data5[[#This Row],[Life Expectancy ]]-20)/65</f>
        <v>0.79692307692307685</v>
      </c>
      <c r="L46" s="22">
        <f>(HDI_Data5[[#This Row],[EYSI]]+HDI_Data5[[#This Row],[MYSI]])/2</f>
        <v>0.67948888888888881</v>
      </c>
      <c r="M46" s="22">
        <f>( LN( HDI_Data5[[#This Row],[GNI per capita (USD)]] ) - LN(100) ) / ( LN(75000) - LN(100) )</f>
        <v>0.63459885111397951</v>
      </c>
      <c r="N46" s="23">
        <f>POWER((HDI_Data5[[#This Row],[Health Index]]*HDI_Data5[[#This Row],[Education Index]]*HDI_Data5[[#This Row],[Income Index]]), 1/3)</f>
        <v>0.70043205743911641</v>
      </c>
    </row>
    <row r="47" spans="1:14" x14ac:dyDescent="0.3">
      <c r="A47" s="15" t="s">
        <v>27</v>
      </c>
      <c r="B47" s="15">
        <v>2019</v>
      </c>
      <c r="C47" s="15" t="s">
        <v>14</v>
      </c>
      <c r="D47" s="15">
        <v>73.3</v>
      </c>
      <c r="E47" s="16">
        <v>13.52</v>
      </c>
      <c r="F47" s="16">
        <v>8.5690000000000008</v>
      </c>
      <c r="G47" s="25">
        <v>367931.17912260914</v>
      </c>
      <c r="H47" s="21">
        <f>G47/VLOOKUP(B47, exchange_rates6[], 2, FALSE)</f>
        <v>7102.9185158804858</v>
      </c>
      <c r="I47" s="16">
        <f>HDI_Data5[[#This Row],[Expected Schooling ]]/18</f>
        <v>0.75111111111111106</v>
      </c>
      <c r="J47" s="16">
        <f>HDI_Data5[[#This Row],[Mean schooling ]]/15</f>
        <v>0.5712666666666667</v>
      </c>
      <c r="K47" s="22">
        <f>(HDI_Data5[[#This Row],[Life Expectancy ]]-20)/65</f>
        <v>0.82</v>
      </c>
      <c r="L47" s="22">
        <f>(HDI_Data5[[#This Row],[EYSI]]+HDI_Data5[[#This Row],[MYSI]])/2</f>
        <v>0.66118888888888883</v>
      </c>
      <c r="M47" s="22">
        <f>( LN( HDI_Data5[[#This Row],[GNI per capita (USD)]] ) - LN(100) ) / ( LN(75000) - LN(100) )</f>
        <v>0.64396430645952452</v>
      </c>
      <c r="N47" s="23">
        <f>POWER((HDI_Data5[[#This Row],[Health Index]]*HDI_Data5[[#This Row],[Education Index]]*HDI_Data5[[#This Row],[Income Index]]), 1/3)</f>
        <v>0.70415305049814714</v>
      </c>
    </row>
    <row r="48" spans="1:14" x14ac:dyDescent="0.3">
      <c r="A48" s="15" t="s">
        <v>28</v>
      </c>
      <c r="B48" s="15">
        <v>2019</v>
      </c>
      <c r="C48" s="15" t="s">
        <v>14</v>
      </c>
      <c r="D48" s="15">
        <v>72.98</v>
      </c>
      <c r="E48" s="16">
        <v>14.05</v>
      </c>
      <c r="F48" s="16">
        <v>8.6950000000000003</v>
      </c>
      <c r="G48" s="25">
        <v>343743.55765091151</v>
      </c>
      <c r="H48" s="21">
        <f>G48/VLOOKUP(B48, exchange_rates6[], 2, FALSE)</f>
        <v>6635.9760164268637</v>
      </c>
      <c r="I48" s="16">
        <f>HDI_Data5[[#This Row],[Expected Schooling ]]/18</f>
        <v>0.78055555555555556</v>
      </c>
      <c r="J48" s="16">
        <f>HDI_Data5[[#This Row],[Mean schooling ]]/15</f>
        <v>0.57966666666666666</v>
      </c>
      <c r="K48" s="22">
        <f>(HDI_Data5[[#This Row],[Life Expectancy ]]-20)/65</f>
        <v>0.81507692307692314</v>
      </c>
      <c r="L48" s="22">
        <f>(HDI_Data5[[#This Row],[EYSI]]+HDI_Data5[[#This Row],[MYSI]])/2</f>
        <v>0.68011111111111111</v>
      </c>
      <c r="M48" s="22">
        <f>( LN( HDI_Data5[[#This Row],[GNI per capita (USD)]] ) - LN(100) ) / ( LN(75000) - LN(100) )</f>
        <v>0.63369251672570093</v>
      </c>
      <c r="N48" s="23">
        <f>POWER((HDI_Data5[[#This Row],[Health Index]]*HDI_Data5[[#This Row],[Education Index]]*HDI_Data5[[#This Row],[Income Index]]), 1/3)</f>
        <v>0.70558988876981577</v>
      </c>
    </row>
    <row r="49" spans="1:14" x14ac:dyDescent="0.3">
      <c r="A49" s="15" t="s">
        <v>29</v>
      </c>
      <c r="B49" s="15">
        <v>2019</v>
      </c>
      <c r="C49" s="15" t="s">
        <v>14</v>
      </c>
      <c r="D49" s="15">
        <v>73.63</v>
      </c>
      <c r="E49" s="16">
        <v>13.57</v>
      </c>
      <c r="F49" s="16">
        <v>8.9949999999999992</v>
      </c>
      <c r="G49" s="25">
        <v>369036.63000721583</v>
      </c>
      <c r="H49" s="21">
        <f>G49/VLOOKUP(B49, exchange_rates6[], 2, FALSE)</f>
        <v>7124.259266548569</v>
      </c>
      <c r="I49" s="16">
        <f>HDI_Data5[[#This Row],[Expected Schooling ]]/18</f>
        <v>0.75388888888888894</v>
      </c>
      <c r="J49" s="16">
        <f>HDI_Data5[[#This Row],[Mean schooling ]]/15</f>
        <v>0.59966666666666657</v>
      </c>
      <c r="K49" s="22">
        <f>(HDI_Data5[[#This Row],[Life Expectancy ]]-20)/65</f>
        <v>0.82507692307692304</v>
      </c>
      <c r="L49" s="22">
        <f>(HDI_Data5[[#This Row],[EYSI]]+HDI_Data5[[#This Row],[MYSI]])/2</f>
        <v>0.6767777777777777</v>
      </c>
      <c r="M49" s="22">
        <f>( LN( HDI_Data5[[#This Row],[GNI per capita (USD)]] ) - LN(100) ) / ( LN(75000) - LN(100) )</f>
        <v>0.64441747365366386</v>
      </c>
      <c r="N49" s="23">
        <f>POWER((HDI_Data5[[#This Row],[Health Index]]*HDI_Data5[[#This Row],[Education Index]]*HDI_Data5[[#This Row],[Income Index]]), 1/3)</f>
        <v>0.71127238252560154</v>
      </c>
    </row>
    <row r="50" spans="1:14" x14ac:dyDescent="0.3">
      <c r="A50" s="15" t="s">
        <v>30</v>
      </c>
      <c r="B50" s="15">
        <v>2019</v>
      </c>
      <c r="C50" s="15" t="s">
        <v>14</v>
      </c>
      <c r="D50" s="15">
        <v>74.930000000000007</v>
      </c>
      <c r="E50" s="16">
        <v>13.22</v>
      </c>
      <c r="F50" s="16">
        <v>8.76</v>
      </c>
      <c r="G50" s="25">
        <v>332917.89813222789</v>
      </c>
      <c r="H50" s="21">
        <f>G50/VLOOKUP(B50, exchange_rates6[], 2, FALSE)</f>
        <v>6426.9864504291099</v>
      </c>
      <c r="I50" s="16">
        <f>HDI_Data5[[#This Row],[Expected Schooling ]]/18</f>
        <v>0.73444444444444446</v>
      </c>
      <c r="J50" s="16">
        <f>HDI_Data5[[#This Row],[Mean schooling ]]/15</f>
        <v>0.58399999999999996</v>
      </c>
      <c r="K50" s="22">
        <f>(HDI_Data5[[#This Row],[Life Expectancy ]]-20)/65</f>
        <v>0.84507692307692317</v>
      </c>
      <c r="L50" s="22">
        <f>(HDI_Data5[[#This Row],[EYSI]]+HDI_Data5[[#This Row],[MYSI]])/2</f>
        <v>0.65922222222222215</v>
      </c>
      <c r="M50" s="22">
        <f>( LN( HDI_Data5[[#This Row],[GNI per capita (USD)]] ) - LN(100) ) / ( LN(75000) - LN(100) )</f>
        <v>0.62885873332154829</v>
      </c>
      <c r="N50" s="23">
        <f>POWER((HDI_Data5[[#This Row],[Health Index]]*HDI_Data5[[#This Row],[Education Index]]*HDI_Data5[[#This Row],[Income Index]]), 1/3)</f>
        <v>0.70495337262795721</v>
      </c>
    </row>
    <row r="51" spans="1:14" x14ac:dyDescent="0.3">
      <c r="A51" s="15" t="s">
        <v>31</v>
      </c>
      <c r="B51" s="15">
        <v>2019</v>
      </c>
      <c r="C51" s="15" t="s">
        <v>14</v>
      </c>
      <c r="D51" s="15">
        <v>71.03</v>
      </c>
      <c r="E51" s="16">
        <v>13.24</v>
      </c>
      <c r="F51" s="16">
        <v>8.3339999999999996</v>
      </c>
      <c r="G51" s="25">
        <v>308553.70344263472</v>
      </c>
      <c r="H51" s="21">
        <f>G51/VLOOKUP(B51, exchange_rates6[], 2, FALSE)</f>
        <v>5956.6352015952652</v>
      </c>
      <c r="I51" s="16">
        <f>HDI_Data5[[#This Row],[Expected Schooling ]]/18</f>
        <v>0.73555555555555552</v>
      </c>
      <c r="J51" s="16">
        <f>HDI_Data5[[#This Row],[Mean schooling ]]/15</f>
        <v>0.55559999999999998</v>
      </c>
      <c r="K51" s="22">
        <f>(HDI_Data5[[#This Row],[Life Expectancy ]]-20)/65</f>
        <v>0.78507692307692312</v>
      </c>
      <c r="L51" s="22">
        <f>(HDI_Data5[[#This Row],[EYSI]]+HDI_Data5[[#This Row],[MYSI]])/2</f>
        <v>0.64557777777777781</v>
      </c>
      <c r="M51" s="22">
        <f>( LN( HDI_Data5[[#This Row],[GNI per capita (USD)]] ) - LN(100) ) / ( LN(75000) - LN(100) )</f>
        <v>0.61737849773668696</v>
      </c>
      <c r="N51" s="23">
        <f>POWER((HDI_Data5[[#This Row],[Health Index]]*HDI_Data5[[#This Row],[Education Index]]*HDI_Data5[[#This Row],[Income Index]]), 1/3)</f>
        <v>0.67889732059230279</v>
      </c>
    </row>
    <row r="52" spans="1:14" x14ac:dyDescent="0.3">
      <c r="A52" s="15" t="s">
        <v>32</v>
      </c>
      <c r="B52" s="15">
        <v>2019</v>
      </c>
      <c r="C52" s="15" t="s">
        <v>14</v>
      </c>
      <c r="D52" s="15">
        <v>74.400000000000006</v>
      </c>
      <c r="E52" s="16">
        <v>13.56</v>
      </c>
      <c r="F52" s="16">
        <v>8.8780000000000001</v>
      </c>
      <c r="G52" s="25">
        <v>373491.74680682697</v>
      </c>
      <c r="H52" s="21">
        <f>G52/VLOOKUP(B52, exchange_rates6[], 2, FALSE)</f>
        <v>7210.2653823711771</v>
      </c>
      <c r="I52" s="16">
        <f>HDI_Data5[[#This Row],[Expected Schooling ]]/18</f>
        <v>0.75333333333333341</v>
      </c>
      <c r="J52" s="16">
        <f>HDI_Data5[[#This Row],[Mean schooling ]]/15</f>
        <v>0.59186666666666665</v>
      </c>
      <c r="K52" s="22">
        <f>(HDI_Data5[[#This Row],[Life Expectancy ]]-20)/65</f>
        <v>0.83692307692307699</v>
      </c>
      <c r="L52" s="22">
        <f>(HDI_Data5[[#This Row],[EYSI]]+HDI_Data5[[#This Row],[MYSI]])/2</f>
        <v>0.67260000000000009</v>
      </c>
      <c r="M52" s="22">
        <f>( LN( HDI_Data5[[#This Row],[GNI per capita (USD)]] ) - LN(100) ) / ( LN(75000) - LN(100) )</f>
        <v>0.64623014243022081</v>
      </c>
      <c r="N52" s="23">
        <f>POWER((HDI_Data5[[#This Row],[Health Index]]*HDI_Data5[[#This Row],[Education Index]]*HDI_Data5[[#This Row],[Income Index]]), 1/3)</f>
        <v>0.71385478079288822</v>
      </c>
    </row>
    <row r="53" spans="1:14" x14ac:dyDescent="0.3">
      <c r="A53" s="15" t="s">
        <v>16</v>
      </c>
      <c r="B53" s="15">
        <v>2019</v>
      </c>
      <c r="C53" s="15" t="s">
        <v>15</v>
      </c>
      <c r="D53" s="15">
        <v>67.19</v>
      </c>
      <c r="E53" s="16">
        <v>11.1</v>
      </c>
      <c r="F53" s="16">
        <v>5.9740000000000002</v>
      </c>
      <c r="G53" s="25">
        <v>258758.68453224786</v>
      </c>
      <c r="H53" s="21">
        <f>G53/VLOOKUP(B53, exchange_rates6[], 2, FALSE)</f>
        <v>4995.3414002364452</v>
      </c>
      <c r="I53" s="16">
        <f>HDI_Data5[[#This Row],[Expected Schooling ]]/18</f>
        <v>0.6166666666666667</v>
      </c>
      <c r="J53" s="16">
        <f>HDI_Data5[[#This Row],[Mean schooling ]]/15</f>
        <v>0.39826666666666666</v>
      </c>
      <c r="K53" s="22">
        <f>(HDI_Data5[[#This Row],[Life Expectancy ]]-20)/65</f>
        <v>0.72599999999999998</v>
      </c>
      <c r="L53" s="22">
        <f>(HDI_Data5[[#This Row],[EYSI]]+HDI_Data5[[#This Row],[MYSI]])/2</f>
        <v>0.50746666666666673</v>
      </c>
      <c r="M53" s="22">
        <f>( LN( HDI_Data5[[#This Row],[GNI per capita (USD)]] ) - LN(100) ) / ( LN(75000) - LN(100) )</f>
        <v>0.59079268901384907</v>
      </c>
      <c r="N53" s="23">
        <f>POWER((HDI_Data5[[#This Row],[Health Index]]*HDI_Data5[[#This Row],[Education Index]]*HDI_Data5[[#This Row],[Income Index]]), 1/3)</f>
        <v>0.601533406584006</v>
      </c>
    </row>
    <row r="54" spans="1:14" x14ac:dyDescent="0.3">
      <c r="A54" s="15" t="s">
        <v>17</v>
      </c>
      <c r="B54" s="15">
        <v>2019</v>
      </c>
      <c r="C54" s="15" t="s">
        <v>15</v>
      </c>
      <c r="D54" s="15">
        <v>72.2</v>
      </c>
      <c r="E54" s="16">
        <v>13.06</v>
      </c>
      <c r="F54" s="16">
        <v>9.1</v>
      </c>
      <c r="G54" s="25">
        <v>621350.85570764763</v>
      </c>
      <c r="H54" s="21">
        <f>G54/VLOOKUP(B54, exchange_rates6[], 2, FALSE)</f>
        <v>11995.190264626402</v>
      </c>
      <c r="I54" s="16">
        <f>HDI_Data5[[#This Row],[Expected Schooling ]]/18</f>
        <v>0.72555555555555562</v>
      </c>
      <c r="J54" s="16">
        <f>HDI_Data5[[#This Row],[Mean schooling ]]/15</f>
        <v>0.60666666666666669</v>
      </c>
      <c r="K54" s="22">
        <f>(HDI_Data5[[#This Row],[Life Expectancy ]]-20)/65</f>
        <v>0.80307692307692313</v>
      </c>
      <c r="L54" s="22">
        <f>(HDI_Data5[[#This Row],[EYSI]]+HDI_Data5[[#This Row],[MYSI]])/2</f>
        <v>0.6661111111111111</v>
      </c>
      <c r="M54" s="22">
        <f>( LN( HDI_Data5[[#This Row],[GNI per capita (USD)]] ) - LN(100) ) / ( LN(75000) - LN(100) )</f>
        <v>0.72311750970251898</v>
      </c>
      <c r="N54" s="23">
        <f>POWER((HDI_Data5[[#This Row],[Health Index]]*HDI_Data5[[#This Row],[Education Index]]*HDI_Data5[[#This Row],[Income Index]]), 1/3)</f>
        <v>0.72862527801039612</v>
      </c>
    </row>
    <row r="55" spans="1:14" x14ac:dyDescent="0.3">
      <c r="A55" s="15" t="s">
        <v>19</v>
      </c>
      <c r="B55" s="15">
        <v>2019</v>
      </c>
      <c r="C55" s="15" t="s">
        <v>15</v>
      </c>
      <c r="D55" s="15">
        <v>68.849999999999994</v>
      </c>
      <c r="E55" s="16">
        <v>12.73</v>
      </c>
      <c r="F55" s="16">
        <v>9.0050000000000008</v>
      </c>
      <c r="G55" s="25">
        <v>647355.69730149838</v>
      </c>
      <c r="H55" s="21">
        <f>G55/VLOOKUP(B55, exchange_rates6[], 2, FALSE)</f>
        <v>12497.214233619661</v>
      </c>
      <c r="I55" s="16">
        <f>HDI_Data5[[#This Row],[Expected Schooling ]]/18</f>
        <v>0.7072222222222222</v>
      </c>
      <c r="J55" s="16">
        <f>HDI_Data5[[#This Row],[Mean schooling ]]/15</f>
        <v>0.60033333333333339</v>
      </c>
      <c r="K55" s="22">
        <f>(HDI_Data5[[#This Row],[Life Expectancy ]]-20)/65</f>
        <v>0.75153846153846149</v>
      </c>
      <c r="L55" s="22">
        <f>(HDI_Data5[[#This Row],[EYSI]]+HDI_Data5[[#This Row],[MYSI]])/2</f>
        <v>0.65377777777777779</v>
      </c>
      <c r="M55" s="22">
        <f>( LN( HDI_Data5[[#This Row],[GNI per capita (USD)]] ) - LN(100) ) / ( LN(75000) - LN(100) )</f>
        <v>0.72931079468908955</v>
      </c>
      <c r="N55" s="23">
        <f>POWER((HDI_Data5[[#This Row],[Health Index]]*HDI_Data5[[#This Row],[Education Index]]*HDI_Data5[[#This Row],[Income Index]]), 1/3)</f>
        <v>0.71028286191510115</v>
      </c>
    </row>
    <row r="56" spans="1:14" x14ac:dyDescent="0.3">
      <c r="A56" s="15" t="s">
        <v>20</v>
      </c>
      <c r="B56" s="15">
        <v>2019</v>
      </c>
      <c r="C56" s="15" t="s">
        <v>15</v>
      </c>
      <c r="D56" s="15">
        <v>71.11</v>
      </c>
      <c r="E56" s="16">
        <v>12.51</v>
      </c>
      <c r="F56" s="16">
        <v>8.0760000000000005</v>
      </c>
      <c r="G56" s="25">
        <v>545060.01475983299</v>
      </c>
      <c r="H56" s="21">
        <f>G56/VLOOKUP(B56, exchange_rates6[], 2, FALSE)</f>
        <v>10522.394107332684</v>
      </c>
      <c r="I56" s="16">
        <f>HDI_Data5[[#This Row],[Expected Schooling ]]/18</f>
        <v>0.69499999999999995</v>
      </c>
      <c r="J56" s="16">
        <f>HDI_Data5[[#This Row],[Mean schooling ]]/15</f>
        <v>0.53839999999999999</v>
      </c>
      <c r="K56" s="22">
        <f>(HDI_Data5[[#This Row],[Life Expectancy ]]-20)/65</f>
        <v>0.78630769230769226</v>
      </c>
      <c r="L56" s="22">
        <f>(HDI_Data5[[#This Row],[EYSI]]+HDI_Data5[[#This Row],[MYSI]])/2</f>
        <v>0.61670000000000003</v>
      </c>
      <c r="M56" s="22">
        <f>( LN( HDI_Data5[[#This Row],[GNI per capita (USD)]] ) - LN(100) ) / ( LN(75000) - LN(100) )</f>
        <v>0.70332920889177064</v>
      </c>
      <c r="N56" s="23">
        <f>POWER((HDI_Data5[[#This Row],[Health Index]]*HDI_Data5[[#This Row],[Education Index]]*HDI_Data5[[#This Row],[Income Index]]), 1/3)</f>
        <v>0.69867474031796784</v>
      </c>
    </row>
    <row r="57" spans="1:14" x14ac:dyDescent="0.3">
      <c r="A57" s="15" t="s">
        <v>21</v>
      </c>
      <c r="B57" s="15">
        <v>2019</v>
      </c>
      <c r="C57" s="15" t="s">
        <v>15</v>
      </c>
      <c r="D57" s="15">
        <v>70.84</v>
      </c>
      <c r="E57" s="16">
        <v>12.42</v>
      </c>
      <c r="F57" s="16">
        <v>9.0069999999999997</v>
      </c>
      <c r="G57" s="25">
        <v>725525.27330651623</v>
      </c>
      <c r="H57" s="21">
        <f>G57/VLOOKUP(B57, exchange_rates6[], 2, FALSE)</f>
        <v>14006.279407461705</v>
      </c>
      <c r="I57" s="16">
        <f>HDI_Data5[[#This Row],[Expected Schooling ]]/18</f>
        <v>0.69</v>
      </c>
      <c r="J57" s="16">
        <f>HDI_Data5[[#This Row],[Mean schooling ]]/15</f>
        <v>0.60046666666666659</v>
      </c>
      <c r="K57" s="22">
        <f>(HDI_Data5[[#This Row],[Life Expectancy ]]-20)/65</f>
        <v>0.7821538461538462</v>
      </c>
      <c r="L57" s="22">
        <f>(HDI_Data5[[#This Row],[EYSI]]+HDI_Data5[[#This Row],[MYSI]])/2</f>
        <v>0.64523333333333333</v>
      </c>
      <c r="M57" s="22">
        <f>( LN( HDI_Data5[[#This Row],[GNI per capita (USD)]] ) - LN(100) ) / ( LN(75000) - LN(100) )</f>
        <v>0.7465311480663821</v>
      </c>
      <c r="N57" s="23">
        <f>POWER((HDI_Data5[[#This Row],[Health Index]]*HDI_Data5[[#This Row],[Education Index]]*HDI_Data5[[#This Row],[Income Index]]), 1/3)</f>
        <v>0.72224681908196331</v>
      </c>
    </row>
    <row r="58" spans="1:14" x14ac:dyDescent="0.3">
      <c r="A58" s="15" t="s">
        <v>22</v>
      </c>
      <c r="B58" s="15">
        <v>2019</v>
      </c>
      <c r="C58" s="15" t="s">
        <v>15</v>
      </c>
      <c r="D58" s="15">
        <v>70.430000000000007</v>
      </c>
      <c r="E58" s="16">
        <v>12.66</v>
      </c>
      <c r="F58" s="16">
        <v>9.3870000000000005</v>
      </c>
      <c r="G58" s="25">
        <v>738702.9717157816</v>
      </c>
      <c r="H58" s="21">
        <f>G58/VLOOKUP(B58, exchange_rates6[], 2, FALSE)</f>
        <v>14260.675129648294</v>
      </c>
      <c r="I58" s="16">
        <f>HDI_Data5[[#This Row],[Expected Schooling ]]/18</f>
        <v>0.70333333333333337</v>
      </c>
      <c r="J58" s="16">
        <f>HDI_Data5[[#This Row],[Mean schooling ]]/15</f>
        <v>0.62580000000000002</v>
      </c>
      <c r="K58" s="22">
        <f>(HDI_Data5[[#This Row],[Life Expectancy ]]-20)/65</f>
        <v>0.77584615384615396</v>
      </c>
      <c r="L58" s="22">
        <f>(HDI_Data5[[#This Row],[EYSI]]+HDI_Data5[[#This Row],[MYSI]])/2</f>
        <v>0.66456666666666675</v>
      </c>
      <c r="M58" s="22">
        <f>( LN( HDI_Data5[[#This Row],[GNI per capita (USD)]] ) - LN(100) ) / ( LN(75000) - LN(100) )</f>
        <v>0.74925015123121785</v>
      </c>
      <c r="N58" s="23">
        <f>POWER((HDI_Data5[[#This Row],[Health Index]]*HDI_Data5[[#This Row],[Education Index]]*HDI_Data5[[#This Row],[Income Index]]), 1/3)</f>
        <v>0.72830563189877306</v>
      </c>
    </row>
    <row r="59" spans="1:14" x14ac:dyDescent="0.3">
      <c r="A59" s="15" t="s">
        <v>23</v>
      </c>
      <c r="B59" s="15">
        <v>2019</v>
      </c>
      <c r="C59" s="15" t="s">
        <v>15</v>
      </c>
      <c r="D59" s="15">
        <v>69.31</v>
      </c>
      <c r="E59" s="16">
        <v>12.6</v>
      </c>
      <c r="F59" s="16">
        <v>7.8440000000000003</v>
      </c>
      <c r="G59" s="25">
        <v>466331.10493153788</v>
      </c>
      <c r="H59" s="21">
        <f>G59/VLOOKUP(B59, exchange_rates6[], 2, FALSE)</f>
        <v>9002.5309832343228</v>
      </c>
      <c r="I59" s="16">
        <f>HDI_Data5[[#This Row],[Expected Schooling ]]/18</f>
        <v>0.7</v>
      </c>
      <c r="J59" s="16">
        <f>HDI_Data5[[#This Row],[Mean schooling ]]/15</f>
        <v>0.52293333333333336</v>
      </c>
      <c r="K59" s="22">
        <f>(HDI_Data5[[#This Row],[Life Expectancy ]]-20)/65</f>
        <v>0.75861538461538469</v>
      </c>
      <c r="L59" s="22">
        <f>(HDI_Data5[[#This Row],[EYSI]]+HDI_Data5[[#This Row],[MYSI]])/2</f>
        <v>0.6114666666666666</v>
      </c>
      <c r="M59" s="22">
        <f>( LN( HDI_Data5[[#This Row],[GNI per capita (USD)]] ) - LN(100) ) / ( LN(75000) - LN(100) )</f>
        <v>0.67976451479652789</v>
      </c>
      <c r="N59" s="23">
        <f>POWER((HDI_Data5[[#This Row],[Health Index]]*HDI_Data5[[#This Row],[Education Index]]*HDI_Data5[[#This Row],[Income Index]]), 1/3)</f>
        <v>0.6806402705740876</v>
      </c>
    </row>
    <row r="60" spans="1:14" x14ac:dyDescent="0.3">
      <c r="A60" s="15" t="s">
        <v>24</v>
      </c>
      <c r="B60" s="15">
        <v>2019</v>
      </c>
      <c r="C60" s="15" t="s">
        <v>15</v>
      </c>
      <c r="D60" s="15">
        <v>69.489999999999995</v>
      </c>
      <c r="E60" s="16">
        <v>12.54</v>
      </c>
      <c r="F60" s="16">
        <v>7.4219999999999997</v>
      </c>
      <c r="G60" s="25">
        <v>440493.59607946913</v>
      </c>
      <c r="H60" s="21">
        <f>G60/VLOOKUP(B60, exchange_rates6[], 2, FALSE)</f>
        <v>8503.7373760515275</v>
      </c>
      <c r="I60" s="16">
        <f>HDI_Data5[[#This Row],[Expected Schooling ]]/18</f>
        <v>0.69666666666666666</v>
      </c>
      <c r="J60" s="16">
        <f>HDI_Data5[[#This Row],[Mean schooling ]]/15</f>
        <v>0.49479999999999996</v>
      </c>
      <c r="K60" s="22">
        <f>(HDI_Data5[[#This Row],[Life Expectancy ]]-20)/65</f>
        <v>0.76138461538461533</v>
      </c>
      <c r="L60" s="22">
        <f>(HDI_Data5[[#This Row],[EYSI]]+HDI_Data5[[#This Row],[MYSI]])/2</f>
        <v>0.59573333333333334</v>
      </c>
      <c r="M60" s="22">
        <f>( LN( HDI_Data5[[#This Row],[GNI per capita (USD)]] ) - LN(100) ) / ( LN(75000) - LN(100) )</f>
        <v>0.67115433810788139</v>
      </c>
      <c r="N60" s="23">
        <f>POWER((HDI_Data5[[#This Row],[Health Index]]*HDI_Data5[[#This Row],[Education Index]]*HDI_Data5[[#This Row],[Income Index]]), 1/3)</f>
        <v>0.67270728879078023</v>
      </c>
    </row>
    <row r="61" spans="1:14" x14ac:dyDescent="0.3">
      <c r="A61" s="15" t="s">
        <v>18</v>
      </c>
      <c r="B61" s="15">
        <v>2019</v>
      </c>
      <c r="C61" s="15" t="s">
        <v>15</v>
      </c>
      <c r="D61" s="15">
        <v>72.459999999999994</v>
      </c>
      <c r="E61" s="16">
        <v>12.92</v>
      </c>
      <c r="F61" s="16">
        <v>10.44</v>
      </c>
      <c r="G61" s="25">
        <v>813133.99171543447</v>
      </c>
      <c r="H61" s="21">
        <f>G61/VLOOKUP(B61, exchange_rates6[], 2, FALSE)</f>
        <v>15697.567407633871</v>
      </c>
      <c r="I61" s="16">
        <f>HDI_Data5[[#This Row],[Expected Schooling ]]/18</f>
        <v>0.71777777777777774</v>
      </c>
      <c r="J61" s="16">
        <f>HDI_Data5[[#This Row],[Mean schooling ]]/15</f>
        <v>0.69599999999999995</v>
      </c>
      <c r="K61" s="22">
        <f>(HDI_Data5[[#This Row],[Life Expectancy ]]-20)/65</f>
        <v>0.80707692307692303</v>
      </c>
      <c r="L61" s="22">
        <f>(HDI_Data5[[#This Row],[EYSI]]+HDI_Data5[[#This Row],[MYSI]])/2</f>
        <v>0.7068888888888889</v>
      </c>
      <c r="M61" s="22">
        <f>( LN( HDI_Data5[[#This Row],[GNI per capita (USD)]] ) - LN(100) ) / ( LN(75000) - LN(100) )</f>
        <v>0.76375150144367465</v>
      </c>
      <c r="N61" s="23">
        <f>POWER((HDI_Data5[[#This Row],[Health Index]]*HDI_Data5[[#This Row],[Education Index]]*HDI_Data5[[#This Row],[Income Index]]), 1/3)</f>
        <v>0.75812250217700849</v>
      </c>
    </row>
    <row r="62" spans="1:14" x14ac:dyDescent="0.3">
      <c r="A62" s="15" t="s">
        <v>25</v>
      </c>
      <c r="B62" s="15">
        <v>2019</v>
      </c>
      <c r="C62" s="15" t="s">
        <v>15</v>
      </c>
      <c r="D62" s="15">
        <v>68.930000000000007</v>
      </c>
      <c r="E62" s="16">
        <v>12.24</v>
      </c>
      <c r="F62" s="16">
        <v>8.048</v>
      </c>
      <c r="G62" s="25">
        <v>464934.20800979831</v>
      </c>
      <c r="H62" s="21">
        <f>G62/VLOOKUP(B62, exchange_rates6[], 2, FALSE)</f>
        <v>8975.563861193019</v>
      </c>
      <c r="I62" s="16">
        <f>HDI_Data5[[#This Row],[Expected Schooling ]]/18</f>
        <v>0.68</v>
      </c>
      <c r="J62" s="16">
        <f>HDI_Data5[[#This Row],[Mean schooling ]]/15</f>
        <v>0.53653333333333331</v>
      </c>
      <c r="K62" s="22">
        <f>(HDI_Data5[[#This Row],[Life Expectancy ]]-20)/65</f>
        <v>0.75276923076923086</v>
      </c>
      <c r="L62" s="22">
        <f>(HDI_Data5[[#This Row],[EYSI]]+HDI_Data5[[#This Row],[MYSI]])/2</f>
        <v>0.60826666666666673</v>
      </c>
      <c r="M62" s="22">
        <f>( LN( HDI_Data5[[#This Row],[GNI per capita (USD)]] ) - LN(100) ) / ( LN(75000) - LN(100) )</f>
        <v>0.67931134760238854</v>
      </c>
      <c r="N62" s="23">
        <f>POWER((HDI_Data5[[#This Row],[Health Index]]*HDI_Data5[[#This Row],[Education Index]]*HDI_Data5[[#This Row],[Income Index]]), 1/3)</f>
        <v>0.67755036255436951</v>
      </c>
    </row>
    <row r="63" spans="1:14" x14ac:dyDescent="0.3">
      <c r="A63" s="15" t="s">
        <v>26</v>
      </c>
      <c r="B63" s="15">
        <v>2019</v>
      </c>
      <c r="C63" s="15" t="s">
        <v>15</v>
      </c>
      <c r="D63" s="15">
        <v>68.41</v>
      </c>
      <c r="E63" s="16">
        <v>12.84</v>
      </c>
      <c r="F63" s="16">
        <v>8.4369999999999994</v>
      </c>
      <c r="G63" s="25">
        <v>495167.41000718606</v>
      </c>
      <c r="H63" s="21">
        <f>G63/VLOOKUP(B63, exchange_rates6[], 2, FALSE)</f>
        <v>9559.2164094051368</v>
      </c>
      <c r="I63" s="16">
        <f>HDI_Data5[[#This Row],[Expected Schooling ]]/18</f>
        <v>0.71333333333333337</v>
      </c>
      <c r="J63" s="16">
        <f>HDI_Data5[[#This Row],[Mean schooling ]]/15</f>
        <v>0.56246666666666667</v>
      </c>
      <c r="K63" s="22">
        <f>(HDI_Data5[[#This Row],[Life Expectancy ]]-20)/65</f>
        <v>0.74476923076923074</v>
      </c>
      <c r="L63" s="22">
        <f>(HDI_Data5[[#This Row],[EYSI]]+HDI_Data5[[#This Row],[MYSI]])/2</f>
        <v>0.63790000000000002</v>
      </c>
      <c r="M63" s="22">
        <f>( LN( HDI_Data5[[#This Row],[GNI per capita (USD)]] ) - LN(100) ) / ( LN(75000) - LN(100) )</f>
        <v>0.68882785867931329</v>
      </c>
      <c r="N63" s="23">
        <f>POWER((HDI_Data5[[#This Row],[Health Index]]*HDI_Data5[[#This Row],[Education Index]]*HDI_Data5[[#This Row],[Income Index]]), 1/3)</f>
        <v>0.68912024760116919</v>
      </c>
    </row>
    <row r="64" spans="1:14" x14ac:dyDescent="0.3">
      <c r="A64" s="15" t="s">
        <v>27</v>
      </c>
      <c r="B64" s="15">
        <v>2019</v>
      </c>
      <c r="C64" s="15" t="s">
        <v>15</v>
      </c>
      <c r="D64" s="15">
        <v>69.62</v>
      </c>
      <c r="E64" s="16">
        <v>12.65</v>
      </c>
      <c r="F64" s="16">
        <v>8.0960000000000001</v>
      </c>
      <c r="G64" s="25">
        <v>527894.21192308282</v>
      </c>
      <c r="H64" s="21">
        <f>G64/VLOOKUP(B64, exchange_rates6[], 2, FALSE)</f>
        <v>10191.007952183067</v>
      </c>
      <c r="I64" s="16">
        <f>HDI_Data5[[#This Row],[Expected Schooling ]]/18</f>
        <v>0.70277777777777783</v>
      </c>
      <c r="J64" s="16">
        <f>HDI_Data5[[#This Row],[Mean schooling ]]/15</f>
        <v>0.53973333333333329</v>
      </c>
      <c r="K64" s="22">
        <f>(HDI_Data5[[#This Row],[Life Expectancy ]]-20)/65</f>
        <v>0.76338461538461544</v>
      </c>
      <c r="L64" s="22">
        <f>(HDI_Data5[[#This Row],[EYSI]]+HDI_Data5[[#This Row],[MYSI]])/2</f>
        <v>0.62125555555555556</v>
      </c>
      <c r="M64" s="22">
        <f>( LN( HDI_Data5[[#This Row],[GNI per capita (USD)]] ) - LN(100) ) / ( LN(75000) - LN(100) )</f>
        <v>0.698495425487618</v>
      </c>
      <c r="N64" s="23">
        <f>POWER((HDI_Data5[[#This Row],[Health Index]]*HDI_Data5[[#This Row],[Education Index]]*HDI_Data5[[#This Row],[Income Index]]), 1/3)</f>
        <v>0.69192509967552251</v>
      </c>
    </row>
    <row r="65" spans="1:14" x14ac:dyDescent="0.3">
      <c r="A65" s="15" t="s">
        <v>28</v>
      </c>
      <c r="B65" s="15">
        <v>2019</v>
      </c>
      <c r="C65" s="15" t="s">
        <v>15</v>
      </c>
      <c r="D65" s="15">
        <v>69.37</v>
      </c>
      <c r="E65" s="16">
        <v>13.01</v>
      </c>
      <c r="F65" s="16">
        <v>7.766</v>
      </c>
      <c r="G65" s="25">
        <v>492205.30076120328</v>
      </c>
      <c r="H65" s="21">
        <f>G65/VLOOKUP(B65, exchange_rates6[], 2, FALSE)</f>
        <v>9502.0328332278623</v>
      </c>
      <c r="I65" s="16">
        <f>HDI_Data5[[#This Row],[Expected Schooling ]]/18</f>
        <v>0.72277777777777774</v>
      </c>
      <c r="J65" s="16">
        <f>HDI_Data5[[#This Row],[Mean schooling ]]/15</f>
        <v>0.51773333333333338</v>
      </c>
      <c r="K65" s="22">
        <f>(HDI_Data5[[#This Row],[Life Expectancy ]]-20)/65</f>
        <v>0.75953846153846161</v>
      </c>
      <c r="L65" s="22">
        <f>(HDI_Data5[[#This Row],[EYSI]]+HDI_Data5[[#This Row],[MYSI]])/2</f>
        <v>0.62025555555555556</v>
      </c>
      <c r="M65" s="22">
        <f>( LN( HDI_Data5[[#This Row],[GNI per capita (USD)]] ) - LN(100) ) / ( LN(75000) - LN(100) )</f>
        <v>0.68792152429103492</v>
      </c>
      <c r="N65" s="23">
        <f>POWER((HDI_Data5[[#This Row],[Health Index]]*HDI_Data5[[#This Row],[Education Index]]*HDI_Data5[[#This Row],[Income Index]]), 1/3)</f>
        <v>0.68688881394484413</v>
      </c>
    </row>
    <row r="66" spans="1:14" x14ac:dyDescent="0.3">
      <c r="A66" s="15" t="s">
        <v>29</v>
      </c>
      <c r="B66" s="15">
        <v>2019</v>
      </c>
      <c r="C66" s="15" t="s">
        <v>15</v>
      </c>
      <c r="D66" s="15">
        <v>69.900000000000006</v>
      </c>
      <c r="E66" s="16">
        <v>12.6</v>
      </c>
      <c r="F66" s="16">
        <v>8.2189999999999994</v>
      </c>
      <c r="G66" s="25">
        <v>530010.01756097726</v>
      </c>
      <c r="H66" s="21">
        <f>G66/VLOOKUP(B66, exchange_rates6[], 2, FALSE)</f>
        <v>10231.853620868287</v>
      </c>
      <c r="I66" s="16">
        <f>HDI_Data5[[#This Row],[Expected Schooling ]]/18</f>
        <v>0.7</v>
      </c>
      <c r="J66" s="16">
        <f>HDI_Data5[[#This Row],[Mean schooling ]]/15</f>
        <v>0.54793333333333327</v>
      </c>
      <c r="K66" s="22">
        <f>(HDI_Data5[[#This Row],[Life Expectancy ]]-20)/65</f>
        <v>0.76769230769230778</v>
      </c>
      <c r="L66" s="22">
        <f>(HDI_Data5[[#This Row],[EYSI]]+HDI_Data5[[#This Row],[MYSI]])/2</f>
        <v>0.62396666666666656</v>
      </c>
      <c r="M66" s="22">
        <f>( LN( HDI_Data5[[#This Row],[GNI per capita (USD)]] ) - LN(100) ) / ( LN(75000) - LN(100) )</f>
        <v>0.69909964841313699</v>
      </c>
      <c r="N66" s="23">
        <f>POWER((HDI_Data5[[#This Row],[Health Index]]*HDI_Data5[[#This Row],[Education Index]]*HDI_Data5[[#This Row],[Income Index]]), 1/3)</f>
        <v>0.69443119327567104</v>
      </c>
    </row>
    <row r="67" spans="1:14" x14ac:dyDescent="0.3">
      <c r="A67" s="15" t="s">
        <v>30</v>
      </c>
      <c r="B67" s="15">
        <v>2019</v>
      </c>
      <c r="C67" s="15" t="s">
        <v>15</v>
      </c>
      <c r="D67" s="15">
        <v>70.95</v>
      </c>
      <c r="E67" s="16">
        <v>13.12</v>
      </c>
      <c r="F67" s="16">
        <v>8.0619999999999994</v>
      </c>
      <c r="G67" s="25">
        <v>476227.60772058112</v>
      </c>
      <c r="H67" s="21">
        <f>G67/VLOOKUP(B67, exchange_rates6[], 2, FALSE)</f>
        <v>9193.5831606289794</v>
      </c>
      <c r="I67" s="16">
        <f>HDI_Data5[[#This Row],[Expected Schooling ]]/18</f>
        <v>0.72888888888888881</v>
      </c>
      <c r="J67" s="16">
        <f>HDI_Data5[[#This Row],[Mean schooling ]]/15</f>
        <v>0.53746666666666665</v>
      </c>
      <c r="K67" s="22">
        <f>(HDI_Data5[[#This Row],[Life Expectancy ]]-20)/65</f>
        <v>0.78384615384615386</v>
      </c>
      <c r="L67" s="22">
        <f>(HDI_Data5[[#This Row],[EYSI]]+HDI_Data5[[#This Row],[MYSI]])/2</f>
        <v>0.63317777777777773</v>
      </c>
      <c r="M67" s="22">
        <f>( LN( HDI_Data5[[#This Row],[GNI per capita (USD)]] ) - LN(100) ) / ( LN(75000) - LN(100) )</f>
        <v>0.68293668515550299</v>
      </c>
      <c r="N67" s="23">
        <f>POWER((HDI_Data5[[#This Row],[Health Index]]*HDI_Data5[[#This Row],[Education Index]]*HDI_Data5[[#This Row],[Income Index]]), 1/3)</f>
        <v>0.69723467826215912</v>
      </c>
    </row>
    <row r="68" spans="1:14" x14ac:dyDescent="0.3">
      <c r="A68" s="15" t="s">
        <v>31</v>
      </c>
      <c r="B68" s="15">
        <v>2019</v>
      </c>
      <c r="C68" s="15" t="s">
        <v>15</v>
      </c>
      <c r="D68" s="15">
        <v>67.78</v>
      </c>
      <c r="E68" s="16">
        <v>12.32</v>
      </c>
      <c r="F68" s="16">
        <v>7.6890000000000001</v>
      </c>
      <c r="G68" s="25">
        <v>439613.48928747082</v>
      </c>
      <c r="H68" s="21">
        <f>G68/VLOOKUP(B68, exchange_rates6[], 2, FALSE)</f>
        <v>8486.7468974415224</v>
      </c>
      <c r="I68" s="16">
        <f>HDI_Data5[[#This Row],[Expected Schooling ]]/18</f>
        <v>0.68444444444444441</v>
      </c>
      <c r="J68" s="16">
        <f>HDI_Data5[[#This Row],[Mean schooling ]]/15</f>
        <v>0.51260000000000006</v>
      </c>
      <c r="K68" s="22">
        <f>(HDI_Data5[[#This Row],[Life Expectancy ]]-20)/65</f>
        <v>0.73507692307692307</v>
      </c>
      <c r="L68" s="22">
        <f>(HDI_Data5[[#This Row],[EYSI]]+HDI_Data5[[#This Row],[MYSI]])/2</f>
        <v>0.59852222222222218</v>
      </c>
      <c r="M68" s="22">
        <f>( LN( HDI_Data5[[#This Row],[GNI per capita (USD)]] ) - LN(100) ) / ( LN(75000) - LN(100) )</f>
        <v>0.67085222664512212</v>
      </c>
      <c r="N68" s="23">
        <f>POWER((HDI_Data5[[#This Row],[Health Index]]*HDI_Data5[[#This Row],[Education Index]]*HDI_Data5[[#This Row],[Income Index]]), 1/3)</f>
        <v>0.665804375186551</v>
      </c>
    </row>
    <row r="69" spans="1:14" x14ac:dyDescent="0.3">
      <c r="A69" s="15" t="s">
        <v>32</v>
      </c>
      <c r="B69" s="15">
        <v>2019</v>
      </c>
      <c r="C69" s="15" t="s">
        <v>15</v>
      </c>
      <c r="D69" s="15">
        <v>70.52</v>
      </c>
      <c r="E69" s="16">
        <v>12.71</v>
      </c>
      <c r="F69" s="16">
        <v>7.9489999999999998</v>
      </c>
      <c r="G69" s="25">
        <v>536945.12834013277</v>
      </c>
      <c r="H69" s="21">
        <f>G69/VLOOKUP(B69, exchange_rates6[], 2, FALSE)</f>
        <v>10365.736068342332</v>
      </c>
      <c r="I69" s="16">
        <f>HDI_Data5[[#This Row],[Expected Schooling ]]/18</f>
        <v>0.70611111111111113</v>
      </c>
      <c r="J69" s="16">
        <f>HDI_Data5[[#This Row],[Mean schooling ]]/15</f>
        <v>0.52993333333333337</v>
      </c>
      <c r="K69" s="22">
        <f>(HDI_Data5[[#This Row],[Life Expectancy ]]-20)/65</f>
        <v>0.77723076923076917</v>
      </c>
      <c r="L69" s="22">
        <f>(HDI_Data5[[#This Row],[EYSI]]+HDI_Data5[[#This Row],[MYSI]])/2</f>
        <v>0.61802222222222225</v>
      </c>
      <c r="M69" s="22">
        <f>( LN( HDI_Data5[[#This Row],[GNI per capita (USD)]] ) - LN(100) ) / ( LN(75000) - LN(100) )</f>
        <v>0.70106337292107412</v>
      </c>
      <c r="N69" s="23">
        <f>POWER((HDI_Data5[[#This Row],[Health Index]]*HDI_Data5[[#This Row],[Education Index]]*HDI_Data5[[#This Row],[Income Index]]), 1/3)</f>
        <v>0.69572421296686515</v>
      </c>
    </row>
    <row r="70" spans="1:14" x14ac:dyDescent="0.3">
      <c r="A70" s="15" t="s">
        <v>16</v>
      </c>
      <c r="B70" s="15">
        <v>2020</v>
      </c>
      <c r="C70" s="15" t="s">
        <v>14</v>
      </c>
      <c r="D70" s="15">
        <v>71.37</v>
      </c>
      <c r="E70" s="16">
        <v>12.25</v>
      </c>
      <c r="F70" s="16">
        <v>6.6769999999999996</v>
      </c>
      <c r="G70" s="25">
        <v>163112.0107517151</v>
      </c>
      <c r="H70" s="21">
        <f>G70/VLOOKUP(B70, exchange_rates6[], 2, FALSE)</f>
        <v>3286.5607646930303</v>
      </c>
      <c r="I70" s="16">
        <f>HDI_Data5[[#This Row],[Expected Schooling ]]/18</f>
        <v>0.68055555555555558</v>
      </c>
      <c r="J70" s="16">
        <f>HDI_Data5[[#This Row],[Mean schooling ]]/15</f>
        <v>0.44513333333333333</v>
      </c>
      <c r="K70" s="22">
        <f>(HDI_Data5[[#This Row],[Life Expectancy ]]-20)/65</f>
        <v>0.79030769230769238</v>
      </c>
      <c r="L70" s="22">
        <f>(HDI_Data5[[#This Row],[EYSI]]+HDI_Data5[[#This Row],[MYSI]])/2</f>
        <v>0.56284444444444448</v>
      </c>
      <c r="M70" s="22">
        <f>( LN( HDI_Data5[[#This Row],[GNI per capita (USD)]] ) - LN(100) ) / ( LN(75000) - LN(100) )</f>
        <v>0.52755107712108407</v>
      </c>
      <c r="N70" s="23">
        <f>POWER((HDI_Data5[[#This Row],[Health Index]]*HDI_Data5[[#This Row],[Education Index]]*HDI_Data5[[#This Row],[Income Index]]), 1/3)</f>
        <v>0.61680758020955795</v>
      </c>
    </row>
    <row r="71" spans="1:14" x14ac:dyDescent="0.3">
      <c r="A71" s="15" t="s">
        <v>17</v>
      </c>
      <c r="B71" s="15">
        <v>2020</v>
      </c>
      <c r="C71" s="15" t="s">
        <v>14</v>
      </c>
      <c r="D71" s="15">
        <v>76.47</v>
      </c>
      <c r="E71" s="16">
        <v>13.94</v>
      </c>
      <c r="F71" s="16">
        <v>10.07</v>
      </c>
      <c r="G71" s="25">
        <v>366294.31416924793</v>
      </c>
      <c r="H71" s="21">
        <f>G71/VLOOKUP(B71, exchange_rates6[], 2, FALSE)</f>
        <v>7380.5019981714267</v>
      </c>
      <c r="I71" s="16">
        <f>HDI_Data5[[#This Row],[Expected Schooling ]]/18</f>
        <v>0.77444444444444438</v>
      </c>
      <c r="J71" s="16">
        <f>HDI_Data5[[#This Row],[Mean schooling ]]/15</f>
        <v>0.67133333333333334</v>
      </c>
      <c r="K71" s="22">
        <f>(HDI_Data5[[#This Row],[Life Expectancy ]]-20)/65</f>
        <v>0.86876923076923074</v>
      </c>
      <c r="L71" s="22">
        <f>(HDI_Data5[[#This Row],[EYSI]]+HDI_Data5[[#This Row],[MYSI]])/2</f>
        <v>0.72288888888888891</v>
      </c>
      <c r="M71" s="22">
        <f>( LN( HDI_Data5[[#This Row],[GNI per capita (USD)]] ) - LN(100) ) / ( LN(75000) - LN(100) )</f>
        <v>0.64975516380731024</v>
      </c>
      <c r="N71" s="23">
        <f>POWER((HDI_Data5[[#This Row],[Health Index]]*HDI_Data5[[#This Row],[Education Index]]*HDI_Data5[[#This Row],[Income Index]]), 1/3)</f>
        <v>0.74172327419577122</v>
      </c>
    </row>
    <row r="72" spans="1:14" x14ac:dyDescent="0.3">
      <c r="A72" s="15" t="s">
        <v>19</v>
      </c>
      <c r="B72" s="15">
        <v>2020</v>
      </c>
      <c r="C72" s="15" t="s">
        <v>14</v>
      </c>
      <c r="D72" s="15">
        <v>72.010000000000005</v>
      </c>
      <c r="E72" s="16">
        <v>13.33</v>
      </c>
      <c r="F72" s="16">
        <v>9.6359999999999992</v>
      </c>
      <c r="G72" s="25">
        <v>377072.37582222419</v>
      </c>
      <c r="H72" s="21">
        <f>G72/VLOOKUP(B72, exchange_rates6[], 2, FALSE)</f>
        <v>7597.6702764905131</v>
      </c>
      <c r="I72" s="16">
        <f>HDI_Data5[[#This Row],[Expected Schooling ]]/18</f>
        <v>0.74055555555555552</v>
      </c>
      <c r="J72" s="16">
        <f>HDI_Data5[[#This Row],[Mean schooling ]]/15</f>
        <v>0.64239999999999997</v>
      </c>
      <c r="K72" s="22">
        <f>(HDI_Data5[[#This Row],[Life Expectancy ]]-20)/65</f>
        <v>0.80015384615384622</v>
      </c>
      <c r="L72" s="22">
        <f>(HDI_Data5[[#This Row],[EYSI]]+HDI_Data5[[#This Row],[MYSI]])/2</f>
        <v>0.69147777777777775</v>
      </c>
      <c r="M72" s="22">
        <f>( LN( HDI_Data5[[#This Row],[GNI per capita (USD)]] ) - LN(100) ) / ( LN(75000) - LN(100) )</f>
        <v>0.65413578001732331</v>
      </c>
      <c r="N72" s="23">
        <f>POWER((HDI_Data5[[#This Row],[Health Index]]*HDI_Data5[[#This Row],[Education Index]]*HDI_Data5[[#This Row],[Income Index]]), 1/3)</f>
        <v>0.71264494659602795</v>
      </c>
    </row>
    <row r="73" spans="1:14" x14ac:dyDescent="0.3">
      <c r="A73" s="15" t="s">
        <v>20</v>
      </c>
      <c r="B73" s="15">
        <v>2020</v>
      </c>
      <c r="C73" s="15" t="s">
        <v>14</v>
      </c>
      <c r="D73" s="15">
        <v>75.72</v>
      </c>
      <c r="E73" s="16">
        <v>13.68</v>
      </c>
      <c r="F73" s="16">
        <v>8.6829999999999998</v>
      </c>
      <c r="G73" s="25">
        <v>328138.95019784325</v>
      </c>
      <c r="H73" s="21">
        <f>G73/VLOOKUP(B73, exchange_rates6[], 2, FALSE)</f>
        <v>6611.7056255862026</v>
      </c>
      <c r="I73" s="16">
        <f>HDI_Data5[[#This Row],[Expected Schooling ]]/18</f>
        <v>0.76</v>
      </c>
      <c r="J73" s="16">
        <f>HDI_Data5[[#This Row],[Mean schooling ]]/15</f>
        <v>0.57886666666666664</v>
      </c>
      <c r="K73" s="22">
        <f>(HDI_Data5[[#This Row],[Life Expectancy ]]-20)/65</f>
        <v>0.85723076923076924</v>
      </c>
      <c r="L73" s="22">
        <f>(HDI_Data5[[#This Row],[EYSI]]+HDI_Data5[[#This Row],[MYSI]])/2</f>
        <v>0.66943333333333332</v>
      </c>
      <c r="M73" s="22">
        <f>( LN( HDI_Data5[[#This Row],[GNI per capita (USD)]] ) - LN(100) ) / ( LN(75000) - LN(100) )</f>
        <v>0.63313903335553667</v>
      </c>
      <c r="N73" s="23">
        <f>POWER((HDI_Data5[[#This Row],[Health Index]]*HDI_Data5[[#This Row],[Education Index]]*HDI_Data5[[#This Row],[Income Index]]), 1/3)</f>
        <v>0.7135669462316081</v>
      </c>
    </row>
    <row r="74" spans="1:14" x14ac:dyDescent="0.3">
      <c r="A74" s="15" t="s">
        <v>21</v>
      </c>
      <c r="B74" s="15">
        <v>2020</v>
      </c>
      <c r="C74" s="15" t="s">
        <v>14</v>
      </c>
      <c r="D74" s="15">
        <v>74.709999999999994</v>
      </c>
      <c r="E74" s="16">
        <v>13.04</v>
      </c>
      <c r="F74" s="16">
        <v>9.3539999999999992</v>
      </c>
      <c r="G74" s="25">
        <v>416312.90263991914</v>
      </c>
      <c r="H74" s="21">
        <f>G74/VLOOKUP(B74, exchange_rates6[], 2, FALSE)</f>
        <v>8388.33170743339</v>
      </c>
      <c r="I74" s="16">
        <f>HDI_Data5[[#This Row],[Expected Schooling ]]/18</f>
        <v>0.72444444444444445</v>
      </c>
      <c r="J74" s="16">
        <f>HDI_Data5[[#This Row],[Mean schooling ]]/15</f>
        <v>0.62359999999999993</v>
      </c>
      <c r="K74" s="22">
        <f>(HDI_Data5[[#This Row],[Life Expectancy ]]-20)/65</f>
        <v>0.84169230769230763</v>
      </c>
      <c r="L74" s="22">
        <f>(HDI_Data5[[#This Row],[EYSI]]+HDI_Data5[[#This Row],[MYSI]])/2</f>
        <v>0.67402222222222219</v>
      </c>
      <c r="M74" s="22">
        <f>( LN( HDI_Data5[[#This Row],[GNI per capita (USD)]] ) - LN(100) ) / ( LN(75000) - LN(100) )</f>
        <v>0.66909029742391968</v>
      </c>
      <c r="N74" s="23">
        <f>POWER((HDI_Data5[[#This Row],[Health Index]]*HDI_Data5[[#This Row],[Education Index]]*HDI_Data5[[#This Row],[Income Index]]), 1/3)</f>
        <v>0.72405368557140026</v>
      </c>
    </row>
    <row r="75" spans="1:14" x14ac:dyDescent="0.3">
      <c r="A75" s="15" t="s">
        <v>22</v>
      </c>
      <c r="B75" s="15">
        <v>2020</v>
      </c>
      <c r="C75" s="15" t="s">
        <v>14</v>
      </c>
      <c r="D75" s="15">
        <v>74.180000000000007</v>
      </c>
      <c r="E75" s="16">
        <v>13.16</v>
      </c>
      <c r="F75" s="16">
        <v>9.7059999999999995</v>
      </c>
      <c r="G75" s="25">
        <v>420076.63013226783</v>
      </c>
      <c r="H75" s="21">
        <f>G75/VLOOKUP(B75, exchange_rates6[], 2, FALSE)</f>
        <v>8464.1674417140403</v>
      </c>
      <c r="I75" s="16">
        <f>HDI_Data5[[#This Row],[Expected Schooling ]]/18</f>
        <v>0.73111111111111116</v>
      </c>
      <c r="J75" s="16">
        <f>HDI_Data5[[#This Row],[Mean schooling ]]/15</f>
        <v>0.64706666666666668</v>
      </c>
      <c r="K75" s="22">
        <f>(HDI_Data5[[#This Row],[Life Expectancy ]]-20)/65</f>
        <v>0.83353846153846167</v>
      </c>
      <c r="L75" s="22">
        <f>(HDI_Data5[[#This Row],[EYSI]]+HDI_Data5[[#This Row],[MYSI]])/2</f>
        <v>0.68908888888888886</v>
      </c>
      <c r="M75" s="22">
        <f>( LN( HDI_Data5[[#This Row],[GNI per capita (USD)]] ) - LN(100) ) / ( LN(75000) - LN(100) )</f>
        <v>0.6704497990063375</v>
      </c>
      <c r="N75" s="23">
        <f>POWER((HDI_Data5[[#This Row],[Health Index]]*HDI_Data5[[#This Row],[Education Index]]*HDI_Data5[[#This Row],[Income Index]]), 1/3)</f>
        <v>0.72753806177926794</v>
      </c>
    </row>
    <row r="76" spans="1:14" x14ac:dyDescent="0.3">
      <c r="A76" s="15" t="s">
        <v>23</v>
      </c>
      <c r="B76" s="15">
        <v>2020</v>
      </c>
      <c r="C76" s="15" t="s">
        <v>14</v>
      </c>
      <c r="D76" s="15">
        <v>73.19</v>
      </c>
      <c r="E76" s="16">
        <v>13.41</v>
      </c>
      <c r="F76" s="16">
        <v>8.6489999999999991</v>
      </c>
      <c r="G76" s="25">
        <v>281023.17727297224</v>
      </c>
      <c r="H76" s="21">
        <f>G76/VLOOKUP(B76, exchange_rates6[], 2, FALSE)</f>
        <v>5662.3650468058077</v>
      </c>
      <c r="I76" s="16">
        <f>HDI_Data5[[#This Row],[Expected Schooling ]]/18</f>
        <v>0.745</v>
      </c>
      <c r="J76" s="16">
        <f>HDI_Data5[[#This Row],[Mean schooling ]]/15</f>
        <v>0.57659999999999989</v>
      </c>
      <c r="K76" s="22">
        <f>(HDI_Data5[[#This Row],[Life Expectancy ]]-20)/65</f>
        <v>0.81830769230769229</v>
      </c>
      <c r="L76" s="22">
        <f>(HDI_Data5[[#This Row],[EYSI]]+HDI_Data5[[#This Row],[MYSI]])/2</f>
        <v>0.66079999999999994</v>
      </c>
      <c r="M76" s="22">
        <f>( LN( HDI_Data5[[#This Row],[GNI per capita (USD)]] ) - LN(100) ) / ( LN(75000) - LN(100) )</f>
        <v>0.60972539499167366</v>
      </c>
      <c r="N76" s="23">
        <f>POWER((HDI_Data5[[#This Row],[Health Index]]*HDI_Data5[[#This Row],[Education Index]]*HDI_Data5[[#This Row],[Income Index]]), 1/3)</f>
        <v>0.69083391563426266</v>
      </c>
    </row>
    <row r="77" spans="1:14" x14ac:dyDescent="0.3">
      <c r="A77" s="15" t="s">
        <v>24</v>
      </c>
      <c r="B77" s="15">
        <v>2020</v>
      </c>
      <c r="C77" s="15" t="s">
        <v>14</v>
      </c>
      <c r="D77" s="15">
        <v>72.88</v>
      </c>
      <c r="E77" s="16">
        <v>13.28</v>
      </c>
      <c r="F77" s="16">
        <v>7.9450000000000003</v>
      </c>
      <c r="G77" s="25">
        <v>266250.38081956032</v>
      </c>
      <c r="H77" s="21">
        <f>G77/VLOOKUP(B77, exchange_rates6[], 2, FALSE)</f>
        <v>5364.7064440773784</v>
      </c>
      <c r="I77" s="16">
        <f>HDI_Data5[[#This Row],[Expected Schooling ]]/18</f>
        <v>0.73777777777777775</v>
      </c>
      <c r="J77" s="16">
        <f>HDI_Data5[[#This Row],[Mean schooling ]]/15</f>
        <v>0.52966666666666673</v>
      </c>
      <c r="K77" s="22">
        <f>(HDI_Data5[[#This Row],[Life Expectancy ]]-20)/65</f>
        <v>0.81353846153846143</v>
      </c>
      <c r="L77" s="22">
        <f>(HDI_Data5[[#This Row],[EYSI]]+HDI_Data5[[#This Row],[MYSI]])/2</f>
        <v>0.6337222222222223</v>
      </c>
      <c r="M77" s="22">
        <f>( LN( HDI_Data5[[#This Row],[GNI per capita (USD)]] ) - LN(100) ) / ( LN(75000) - LN(100) )</f>
        <v>0.60156838549716651</v>
      </c>
      <c r="N77" s="23">
        <f>POWER((HDI_Data5[[#This Row],[Health Index]]*HDI_Data5[[#This Row],[Education Index]]*HDI_Data5[[#This Row],[Income Index]]), 1/3)</f>
        <v>0.67689401933737459</v>
      </c>
    </row>
    <row r="78" spans="1:14" x14ac:dyDescent="0.3">
      <c r="A78" s="15" t="s">
        <v>18</v>
      </c>
      <c r="B78" s="15">
        <v>2020</v>
      </c>
      <c r="C78" s="15" t="s">
        <v>14</v>
      </c>
      <c r="D78" s="15">
        <v>76.89</v>
      </c>
      <c r="E78" s="16">
        <v>13.31</v>
      </c>
      <c r="F78" s="16">
        <v>10.61</v>
      </c>
      <c r="G78" s="25">
        <v>445606.88845787081</v>
      </c>
      <c r="H78" s="21">
        <f>G78/VLOOKUP(B78, exchange_rates6[], 2, FALSE)</f>
        <v>8978.5792556492197</v>
      </c>
      <c r="I78" s="16">
        <f>HDI_Data5[[#This Row],[Expected Schooling ]]/18</f>
        <v>0.73944444444444446</v>
      </c>
      <c r="J78" s="16">
        <f>HDI_Data5[[#This Row],[Mean schooling ]]/15</f>
        <v>0.70733333333333326</v>
      </c>
      <c r="K78" s="22">
        <f>(HDI_Data5[[#This Row],[Life Expectancy ]]-20)/65</f>
        <v>0.87523076923076926</v>
      </c>
      <c r="L78" s="22">
        <f>(HDI_Data5[[#This Row],[EYSI]]+HDI_Data5[[#This Row],[MYSI]])/2</f>
        <v>0.72338888888888886</v>
      </c>
      <c r="M78" s="22">
        <f>( LN( HDI_Data5[[#This Row],[GNI per capita (USD)]] ) - LN(100) ) / ( LN(75000) - LN(100) )</f>
        <v>0.67936208715774327</v>
      </c>
      <c r="N78" s="23">
        <f>POWER((HDI_Data5[[#This Row],[Health Index]]*HDI_Data5[[#This Row],[Education Index]]*HDI_Data5[[#This Row],[Income Index]]), 1/3)</f>
        <v>0.75485796028539731</v>
      </c>
    </row>
    <row r="79" spans="1:14" x14ac:dyDescent="0.3">
      <c r="A79" s="15" t="s">
        <v>25</v>
      </c>
      <c r="B79" s="15">
        <v>2020</v>
      </c>
      <c r="C79" s="15" t="s">
        <v>14</v>
      </c>
      <c r="D79" s="15">
        <v>72.959999999999994</v>
      </c>
      <c r="E79" s="16">
        <v>12.72</v>
      </c>
      <c r="F79" s="16">
        <v>8.64</v>
      </c>
      <c r="G79" s="25">
        <v>283280.37946151156</v>
      </c>
      <c r="H79" s="21">
        <f>G79/VLOOKUP(B79, exchange_rates6[], 2, FALSE)</f>
        <v>5707.8456470181654</v>
      </c>
      <c r="I79" s="16">
        <f>HDI_Data5[[#This Row],[Expected Schooling ]]/18</f>
        <v>0.70666666666666667</v>
      </c>
      <c r="J79" s="16">
        <f>HDI_Data5[[#This Row],[Mean schooling ]]/15</f>
        <v>0.57600000000000007</v>
      </c>
      <c r="K79" s="22">
        <f>(HDI_Data5[[#This Row],[Life Expectancy ]]-20)/65</f>
        <v>0.81476923076923069</v>
      </c>
      <c r="L79" s="22">
        <f>(HDI_Data5[[#This Row],[EYSI]]+HDI_Data5[[#This Row],[MYSI]])/2</f>
        <v>0.64133333333333331</v>
      </c>
      <c r="M79" s="22">
        <f>( LN( HDI_Data5[[#This Row],[GNI per capita (USD)]] ) - LN(100) ) / ( LN(75000) - LN(100) )</f>
        <v>0.61093384084271185</v>
      </c>
      <c r="N79" s="23">
        <f>POWER((HDI_Data5[[#This Row],[Health Index]]*HDI_Data5[[#This Row],[Education Index]]*HDI_Data5[[#This Row],[Income Index]]), 1/3)</f>
        <v>0.68344599833432373</v>
      </c>
    </row>
    <row r="80" spans="1:14" x14ac:dyDescent="0.3">
      <c r="A80" s="15" t="s">
        <v>26</v>
      </c>
      <c r="B80" s="15">
        <v>2020</v>
      </c>
      <c r="C80" s="15" t="s">
        <v>14</v>
      </c>
      <c r="D80" s="15">
        <v>72.81</v>
      </c>
      <c r="E80" s="16">
        <v>13.44</v>
      </c>
      <c r="F80" s="16">
        <v>9.1080000000000005</v>
      </c>
      <c r="G80" s="25">
        <v>300797.45983147062</v>
      </c>
      <c r="H80" s="21">
        <f>G80/VLOOKUP(B80, exchange_rates6[], 2, FALSE)</f>
        <v>6060.7991100437357</v>
      </c>
      <c r="I80" s="16">
        <f>HDI_Data5[[#This Row],[Expected Schooling ]]/18</f>
        <v>0.74666666666666659</v>
      </c>
      <c r="J80" s="16">
        <f>HDI_Data5[[#This Row],[Mean schooling ]]/15</f>
        <v>0.60720000000000007</v>
      </c>
      <c r="K80" s="22">
        <f>(HDI_Data5[[#This Row],[Life Expectancy ]]-20)/65</f>
        <v>0.81246153846153846</v>
      </c>
      <c r="L80" s="22">
        <f>(HDI_Data5[[#This Row],[EYSI]]+HDI_Data5[[#This Row],[MYSI]])/2</f>
        <v>0.67693333333333339</v>
      </c>
      <c r="M80" s="22">
        <f>( LN( HDI_Data5[[#This Row],[GNI per capita (USD)]] ) - LN(100) ) / ( LN(75000) - LN(100) )</f>
        <v>0.61999718472549759</v>
      </c>
      <c r="N80" s="23">
        <f>POWER((HDI_Data5[[#This Row],[Health Index]]*HDI_Data5[[#This Row],[Education Index]]*HDI_Data5[[#This Row],[Income Index]]), 1/3)</f>
        <v>0.69862824970934212</v>
      </c>
    </row>
    <row r="81" spans="1:14" x14ac:dyDescent="0.3">
      <c r="A81" s="15" t="s">
        <v>27</v>
      </c>
      <c r="B81" s="15">
        <v>2020</v>
      </c>
      <c r="C81" s="15" t="s">
        <v>14</v>
      </c>
      <c r="D81" s="15">
        <v>73.47</v>
      </c>
      <c r="E81" s="16">
        <v>13.24</v>
      </c>
      <c r="F81" s="16">
        <v>8.5909999999999993</v>
      </c>
      <c r="G81" s="25">
        <v>308103.92575146828</v>
      </c>
      <c r="H81" s="21">
        <f>G81/VLOOKUP(B81, exchange_rates6[], 2, FALSE)</f>
        <v>6208.0178470978899</v>
      </c>
      <c r="I81" s="16">
        <f>HDI_Data5[[#This Row],[Expected Schooling ]]/18</f>
        <v>0.73555555555555552</v>
      </c>
      <c r="J81" s="16">
        <f>HDI_Data5[[#This Row],[Mean schooling ]]/15</f>
        <v>0.57273333333333332</v>
      </c>
      <c r="K81" s="22">
        <f>(HDI_Data5[[#This Row],[Life Expectancy ]]-20)/65</f>
        <v>0.82261538461538464</v>
      </c>
      <c r="L81" s="22">
        <f>(HDI_Data5[[#This Row],[EYSI]]+HDI_Data5[[#This Row],[MYSI]])/2</f>
        <v>0.65414444444444442</v>
      </c>
      <c r="M81" s="22">
        <f>( LN( HDI_Data5[[#This Row],[GNI per capita (USD)]] ) - LN(100) ) / ( LN(75000) - LN(100) )</f>
        <v>0.6236225222786117</v>
      </c>
      <c r="N81" s="23">
        <f>POWER((HDI_Data5[[#This Row],[Health Index]]*HDI_Data5[[#This Row],[Education Index]]*HDI_Data5[[#This Row],[Income Index]]), 1/3)</f>
        <v>0.69491351600593709</v>
      </c>
    </row>
    <row r="82" spans="1:14" x14ac:dyDescent="0.3">
      <c r="A82" s="15" t="s">
        <v>28</v>
      </c>
      <c r="B82" s="15">
        <v>2020</v>
      </c>
      <c r="C82" s="15" t="s">
        <v>14</v>
      </c>
      <c r="D82" s="15">
        <v>73.209999999999994</v>
      </c>
      <c r="E82" s="16">
        <v>13.75</v>
      </c>
      <c r="F82" s="16">
        <v>8.7620000000000005</v>
      </c>
      <c r="G82" s="25">
        <v>294252.17780834466</v>
      </c>
      <c r="H82" s="21">
        <f>G82/VLOOKUP(B82, exchange_rates6[], 2, FALSE)</f>
        <v>5928.9175460073475</v>
      </c>
      <c r="I82" s="16">
        <f>HDI_Data5[[#This Row],[Expected Schooling ]]/18</f>
        <v>0.76388888888888884</v>
      </c>
      <c r="J82" s="16">
        <f>HDI_Data5[[#This Row],[Mean schooling ]]/15</f>
        <v>0.58413333333333339</v>
      </c>
      <c r="K82" s="22">
        <f>(HDI_Data5[[#This Row],[Life Expectancy ]]-20)/65</f>
        <v>0.81861538461538452</v>
      </c>
      <c r="L82" s="22">
        <f>(HDI_Data5[[#This Row],[EYSI]]+HDI_Data5[[#This Row],[MYSI]])/2</f>
        <v>0.67401111111111112</v>
      </c>
      <c r="M82" s="22">
        <f>( LN( HDI_Data5[[#This Row],[GNI per capita (USD)]] ) - LN(100) ) / ( LN(75000) - LN(100) )</f>
        <v>0.61667395863514274</v>
      </c>
      <c r="N82" s="23">
        <f>POWER((HDI_Data5[[#This Row],[Health Index]]*HDI_Data5[[#This Row],[Education Index]]*HDI_Data5[[#This Row],[Income Index]]), 1/3)</f>
        <v>0.69812660533492144</v>
      </c>
    </row>
    <row r="83" spans="1:14" x14ac:dyDescent="0.3">
      <c r="A83" s="15" t="s">
        <v>29</v>
      </c>
      <c r="B83" s="15">
        <v>2020</v>
      </c>
      <c r="C83" s="15" t="s">
        <v>14</v>
      </c>
      <c r="D83" s="15">
        <v>74.19</v>
      </c>
      <c r="E83" s="16">
        <v>13.41</v>
      </c>
      <c r="F83" s="16">
        <v>9.0090000000000003</v>
      </c>
      <c r="G83" s="25">
        <v>324549.20155973535</v>
      </c>
      <c r="H83" s="21">
        <f>G83/VLOOKUP(B83, exchange_rates6[], 2, FALSE)</f>
        <v>6539.3754092229565</v>
      </c>
      <c r="I83" s="16">
        <f>HDI_Data5[[#This Row],[Expected Schooling ]]/18</f>
        <v>0.745</v>
      </c>
      <c r="J83" s="16">
        <f>HDI_Data5[[#This Row],[Mean schooling ]]/15</f>
        <v>0.60060000000000002</v>
      </c>
      <c r="K83" s="22">
        <f>(HDI_Data5[[#This Row],[Life Expectancy ]]-20)/65</f>
        <v>0.83369230769230762</v>
      </c>
      <c r="L83" s="22">
        <f>(HDI_Data5[[#This Row],[EYSI]]+HDI_Data5[[#This Row],[MYSI]])/2</f>
        <v>0.67280000000000006</v>
      </c>
      <c r="M83" s="22">
        <f>( LN( HDI_Data5[[#This Row],[GNI per capita (USD)]] ) - LN(100) ) / ( LN(75000) - LN(100) )</f>
        <v>0.63147742031035914</v>
      </c>
      <c r="N83" s="23">
        <f>POWER((HDI_Data5[[#This Row],[Health Index]]*HDI_Data5[[#This Row],[Education Index]]*HDI_Data5[[#This Row],[Income Index]]), 1/3)</f>
        <v>0.7075381598712106</v>
      </c>
    </row>
    <row r="84" spans="1:14" x14ac:dyDescent="0.3">
      <c r="A84" s="15" t="s">
        <v>30</v>
      </c>
      <c r="B84" s="15">
        <v>2020</v>
      </c>
      <c r="C84" s="15" t="s">
        <v>14</v>
      </c>
      <c r="D84" s="15">
        <v>75.430000000000007</v>
      </c>
      <c r="E84" s="16">
        <v>13.01</v>
      </c>
      <c r="F84" s="16">
        <v>8.8409999999999993</v>
      </c>
      <c r="G84" s="25">
        <v>296912.40045404638</v>
      </c>
      <c r="H84" s="21">
        <f>G84/VLOOKUP(B84, exchange_rates6[], 2, FALSE)</f>
        <v>5982.5186470692397</v>
      </c>
      <c r="I84" s="16">
        <f>HDI_Data5[[#This Row],[Expected Schooling ]]/18</f>
        <v>0.72277777777777774</v>
      </c>
      <c r="J84" s="16">
        <f>HDI_Data5[[#This Row],[Mean schooling ]]/15</f>
        <v>0.58939999999999992</v>
      </c>
      <c r="K84" s="22">
        <f>(HDI_Data5[[#This Row],[Life Expectancy ]]-20)/65</f>
        <v>0.85276923076923083</v>
      </c>
      <c r="L84" s="22">
        <f>(HDI_Data5[[#This Row],[EYSI]]+HDI_Data5[[#This Row],[MYSI]])/2</f>
        <v>0.65608888888888883</v>
      </c>
      <c r="M84" s="22">
        <f>( LN( HDI_Data5[[#This Row],[GNI per capita (USD)]] ) - LN(100) ) / ( LN(75000) - LN(100) )</f>
        <v>0.61803346021756045</v>
      </c>
      <c r="N84" s="23">
        <f>POWER((HDI_Data5[[#This Row],[Health Index]]*HDI_Data5[[#This Row],[Education Index]]*HDI_Data5[[#This Row],[Income Index]]), 1/3)</f>
        <v>0.70188947653140088</v>
      </c>
    </row>
    <row r="85" spans="1:14" x14ac:dyDescent="0.3">
      <c r="A85" s="15" t="s">
        <v>31</v>
      </c>
      <c r="B85" s="15">
        <v>2020</v>
      </c>
      <c r="C85" s="15" t="s">
        <v>14</v>
      </c>
      <c r="D85" s="15">
        <v>71.77</v>
      </c>
      <c r="E85" s="16">
        <v>13.1</v>
      </c>
      <c r="F85" s="16">
        <v>8.3949999999999996</v>
      </c>
      <c r="G85" s="25">
        <v>270274.24002884625</v>
      </c>
      <c r="H85" s="21">
        <f>G85/VLOOKUP(B85, exchange_rates6[], 2, FALSE)</f>
        <v>5445.7835992110868</v>
      </c>
      <c r="I85" s="16">
        <f>HDI_Data5[[#This Row],[Expected Schooling ]]/18</f>
        <v>0.72777777777777775</v>
      </c>
      <c r="J85" s="16">
        <f>HDI_Data5[[#This Row],[Mean schooling ]]/15</f>
        <v>0.55966666666666665</v>
      </c>
      <c r="K85" s="22">
        <f>(HDI_Data5[[#This Row],[Life Expectancy ]]-20)/65</f>
        <v>0.79646153846153844</v>
      </c>
      <c r="L85" s="22">
        <f>(HDI_Data5[[#This Row],[EYSI]]+HDI_Data5[[#This Row],[MYSI]])/2</f>
        <v>0.6437222222222222</v>
      </c>
      <c r="M85" s="22">
        <f>( LN( HDI_Data5[[#This Row],[GNI per capita (USD)]] ) - LN(100) ) / ( LN(75000) - LN(100) )</f>
        <v>0.60383422146786303</v>
      </c>
      <c r="N85" s="23">
        <f>POWER((HDI_Data5[[#This Row],[Health Index]]*HDI_Data5[[#This Row],[Education Index]]*HDI_Data5[[#This Row],[Income Index]]), 1/3)</f>
        <v>0.6764883847665204</v>
      </c>
    </row>
    <row r="86" spans="1:14" x14ac:dyDescent="0.3">
      <c r="A86" s="15" t="s">
        <v>32</v>
      </c>
      <c r="B86" s="15">
        <v>2020</v>
      </c>
      <c r="C86" s="15" t="s">
        <v>14</v>
      </c>
      <c r="D86" s="15">
        <v>74.98</v>
      </c>
      <c r="E86" s="16">
        <v>13.39</v>
      </c>
      <c r="F86" s="16">
        <v>8.9469999999999992</v>
      </c>
      <c r="G86" s="25">
        <v>318440.97860279295</v>
      </c>
      <c r="H86" s="21">
        <f>G86/VLOOKUP(B86, exchange_rates6[], 2, FALSE)</f>
        <v>6416.3001934876675</v>
      </c>
      <c r="I86" s="16">
        <f>HDI_Data5[[#This Row],[Expected Schooling ]]/18</f>
        <v>0.74388888888888893</v>
      </c>
      <c r="J86" s="16">
        <f>HDI_Data5[[#This Row],[Mean schooling ]]/15</f>
        <v>0.59646666666666659</v>
      </c>
      <c r="K86" s="22">
        <f>(HDI_Data5[[#This Row],[Life Expectancy ]]-20)/65</f>
        <v>0.84584615384615391</v>
      </c>
      <c r="L86" s="22">
        <f>(HDI_Data5[[#This Row],[EYSI]]+HDI_Data5[[#This Row],[MYSI]])/2</f>
        <v>0.67017777777777776</v>
      </c>
      <c r="M86" s="22">
        <f>( LN( HDI_Data5[[#This Row],[GNI per capita (USD)]] ) - LN(100) ) / ( LN(75000) - LN(100) )</f>
        <v>0.62860736141414364</v>
      </c>
      <c r="N86" s="23">
        <f>POWER((HDI_Data5[[#This Row],[Health Index]]*HDI_Data5[[#This Row],[Education Index]]*HDI_Data5[[#This Row],[Income Index]]), 1/3)</f>
        <v>0.70895764193886035</v>
      </c>
    </row>
    <row r="87" spans="1:14" x14ac:dyDescent="0.3">
      <c r="A87" s="15" t="s">
        <v>16</v>
      </c>
      <c r="B87" s="15">
        <v>2020</v>
      </c>
      <c r="C87" s="15" t="s">
        <v>15</v>
      </c>
      <c r="D87" s="15">
        <v>68.11</v>
      </c>
      <c r="E87" s="16">
        <v>10.93</v>
      </c>
      <c r="F87" s="16">
        <v>6.1050000000000004</v>
      </c>
      <c r="G87" s="25">
        <v>224177.27549825184</v>
      </c>
      <c r="H87" s="21">
        <f>G87/VLOOKUP(B87, exchange_rates6[], 2, FALSE)</f>
        <v>4516.9710960759985</v>
      </c>
      <c r="I87" s="16">
        <f>HDI_Data5[[#This Row],[Expected Schooling ]]/18</f>
        <v>0.60722222222222222</v>
      </c>
      <c r="J87" s="16">
        <f>HDI_Data5[[#This Row],[Mean schooling ]]/15</f>
        <v>0.40700000000000003</v>
      </c>
      <c r="K87" s="22">
        <f>(HDI_Data5[[#This Row],[Life Expectancy ]]-20)/65</f>
        <v>0.74015384615384616</v>
      </c>
      <c r="L87" s="22">
        <f>(HDI_Data5[[#This Row],[EYSI]]+HDI_Data5[[#This Row],[MYSI]])/2</f>
        <v>0.50711111111111107</v>
      </c>
      <c r="M87" s="22">
        <f>( LN( HDI_Data5[[#This Row],[GNI per capita (USD)]] ) - LN(100) ) / ( LN(75000) - LN(100) )</f>
        <v>0.57558679969984783</v>
      </c>
      <c r="N87" s="23">
        <f>POWER((HDI_Data5[[#This Row],[Health Index]]*HDI_Data5[[#This Row],[Education Index]]*HDI_Data5[[#This Row],[Income Index]]), 1/3)</f>
        <v>0.60003785608056093</v>
      </c>
    </row>
    <row r="88" spans="1:14" x14ac:dyDescent="0.3">
      <c r="A88" s="15" t="s">
        <v>17</v>
      </c>
      <c r="B88" s="15">
        <v>2020</v>
      </c>
      <c r="C88" s="15" t="s">
        <v>15</v>
      </c>
      <c r="D88" s="15">
        <v>72.239999999999995</v>
      </c>
      <c r="E88" s="16">
        <v>12.92</v>
      </c>
      <c r="F88" s="16">
        <v>9.1449999999999996</v>
      </c>
      <c r="G88" s="25">
        <v>519796.37447180285</v>
      </c>
      <c r="H88" s="21">
        <f>G88/VLOOKUP(B88, exchange_rates6[], 2, FALSE)</f>
        <v>10473.430877932758</v>
      </c>
      <c r="I88" s="16">
        <f>HDI_Data5[[#This Row],[Expected Schooling ]]/18</f>
        <v>0.71777777777777774</v>
      </c>
      <c r="J88" s="16">
        <f>HDI_Data5[[#This Row],[Mean schooling ]]/15</f>
        <v>0.60966666666666669</v>
      </c>
      <c r="K88" s="22">
        <f>(HDI_Data5[[#This Row],[Life Expectancy ]]-20)/65</f>
        <v>0.80369230769230759</v>
      </c>
      <c r="L88" s="22">
        <f>(HDI_Data5[[#This Row],[EYSI]]+HDI_Data5[[#This Row],[MYSI]])/2</f>
        <v>0.66372222222222221</v>
      </c>
      <c r="M88" s="22">
        <f>( LN( HDI_Data5[[#This Row],[GNI per capita (USD)]] ) - LN(100) ) / ( LN(75000) - LN(100) )</f>
        <v>0.70262466979022642</v>
      </c>
      <c r="N88" s="23">
        <f>POWER((HDI_Data5[[#This Row],[Health Index]]*HDI_Data5[[#This Row],[Education Index]]*HDI_Data5[[#This Row],[Income Index]]), 1/3)</f>
        <v>0.72099655254124806</v>
      </c>
    </row>
    <row r="89" spans="1:14" x14ac:dyDescent="0.3">
      <c r="A89" s="15" t="s">
        <v>19</v>
      </c>
      <c r="B89" s="15">
        <v>2020</v>
      </c>
      <c r="C89" s="15" t="s">
        <v>15</v>
      </c>
      <c r="D89" s="15">
        <v>68.64</v>
      </c>
      <c r="E89" s="16">
        <v>12.48</v>
      </c>
      <c r="F89" s="16">
        <v>8.9860000000000007</v>
      </c>
      <c r="G89" s="25">
        <v>535626.53080706997</v>
      </c>
      <c r="H89" s="21">
        <f>G89/VLOOKUP(B89, exchange_rates6[], 2, FALSE)</f>
        <v>10792.394334214587</v>
      </c>
      <c r="I89" s="16">
        <f>HDI_Data5[[#This Row],[Expected Schooling ]]/18</f>
        <v>0.69333333333333336</v>
      </c>
      <c r="J89" s="16">
        <f>HDI_Data5[[#This Row],[Mean schooling ]]/15</f>
        <v>0.59906666666666675</v>
      </c>
      <c r="K89" s="22">
        <f>(HDI_Data5[[#This Row],[Life Expectancy ]]-20)/65</f>
        <v>0.74830769230769234</v>
      </c>
      <c r="L89" s="22">
        <f>(HDI_Data5[[#This Row],[EYSI]]+HDI_Data5[[#This Row],[MYSI]])/2</f>
        <v>0.64620000000000011</v>
      </c>
      <c r="M89" s="22">
        <f>( LN( HDI_Data5[[#This Row],[GNI per capita (USD)]] ) - LN(100) ) / ( LN(75000) - LN(100) )</f>
        <v>0.70715634173161945</v>
      </c>
      <c r="N89" s="23">
        <f>POWER((HDI_Data5[[#This Row],[Health Index]]*HDI_Data5[[#This Row],[Education Index]]*HDI_Data5[[#This Row],[Income Index]]), 1/3)</f>
        <v>0.69928498186541721</v>
      </c>
    </row>
    <row r="90" spans="1:14" x14ac:dyDescent="0.3">
      <c r="A90" s="15" t="s">
        <v>20</v>
      </c>
      <c r="B90" s="15">
        <v>2020</v>
      </c>
      <c r="C90" s="15" t="s">
        <v>15</v>
      </c>
      <c r="D90" s="15">
        <v>71.63</v>
      </c>
      <c r="E90" s="16">
        <v>12.53</v>
      </c>
      <c r="F90" s="16">
        <v>8.0640000000000001</v>
      </c>
      <c r="G90" s="25">
        <v>463328.88992968207</v>
      </c>
      <c r="H90" s="21">
        <f>G90/VLOOKUP(B90, exchange_rates6[], 2, FALSE)</f>
        <v>9335.66169513766</v>
      </c>
      <c r="I90" s="16">
        <f>HDI_Data5[[#This Row],[Expected Schooling ]]/18</f>
        <v>0.69611111111111112</v>
      </c>
      <c r="J90" s="16">
        <f>HDI_Data5[[#This Row],[Mean schooling ]]/15</f>
        <v>0.53759999999999997</v>
      </c>
      <c r="K90" s="22">
        <f>(HDI_Data5[[#This Row],[Life Expectancy ]]-20)/65</f>
        <v>0.79430769230769227</v>
      </c>
      <c r="L90" s="22">
        <f>(HDI_Data5[[#This Row],[EYSI]]+HDI_Data5[[#This Row],[MYSI]])/2</f>
        <v>0.61685555555555549</v>
      </c>
      <c r="M90" s="22">
        <f>( LN( HDI_Data5[[#This Row],[GNI per capita (USD)]] ) - LN(100) ) / ( LN(75000) - LN(100) )</f>
        <v>0.6852532606815539</v>
      </c>
      <c r="N90" s="23">
        <f>POWER((HDI_Data5[[#This Row],[Health Index]]*HDI_Data5[[#This Row],[Education Index]]*HDI_Data5[[#This Row],[Income Index]]), 1/3)</f>
        <v>0.69503677890112237</v>
      </c>
    </row>
    <row r="91" spans="1:14" x14ac:dyDescent="0.3">
      <c r="A91" s="15" t="s">
        <v>21</v>
      </c>
      <c r="B91" s="15">
        <v>2020</v>
      </c>
      <c r="C91" s="15" t="s">
        <v>15</v>
      </c>
      <c r="D91" s="15">
        <v>70.819999999999993</v>
      </c>
      <c r="E91" s="16">
        <v>12.3</v>
      </c>
      <c r="F91" s="16">
        <v>9.0370000000000008</v>
      </c>
      <c r="G91" s="25">
        <v>593737.40787282225</v>
      </c>
      <c r="H91" s="21">
        <f>G91/VLOOKUP(B91, exchange_rates6[], 2, FALSE)</f>
        <v>11963.276402837442</v>
      </c>
      <c r="I91" s="16">
        <f>HDI_Data5[[#This Row],[Expected Schooling ]]/18</f>
        <v>0.68333333333333335</v>
      </c>
      <c r="J91" s="16">
        <f>HDI_Data5[[#This Row],[Mean schooling ]]/15</f>
        <v>0.60246666666666671</v>
      </c>
      <c r="K91" s="22">
        <f>(HDI_Data5[[#This Row],[Life Expectancy ]]-20)/65</f>
        <v>0.78184615384615375</v>
      </c>
      <c r="L91" s="22">
        <f>(HDI_Data5[[#This Row],[EYSI]]+HDI_Data5[[#This Row],[MYSI]])/2</f>
        <v>0.64290000000000003</v>
      </c>
      <c r="M91" s="22">
        <f>( LN( HDI_Data5[[#This Row],[GNI per capita (USD)]] ) - LN(100) ) / ( LN(75000) - LN(100) )</f>
        <v>0.72271508206373469</v>
      </c>
      <c r="N91" s="23">
        <f>POWER((HDI_Data5[[#This Row],[Health Index]]*HDI_Data5[[#This Row],[Education Index]]*HDI_Data5[[#This Row],[Income Index]]), 1/3)</f>
        <v>0.71352733577851857</v>
      </c>
    </row>
    <row r="92" spans="1:14" x14ac:dyDescent="0.3">
      <c r="A92" s="15" t="s">
        <v>22</v>
      </c>
      <c r="B92" s="15">
        <v>2020</v>
      </c>
      <c r="C92" s="15" t="s">
        <v>15</v>
      </c>
      <c r="D92" s="15">
        <v>70.39</v>
      </c>
      <c r="E92" s="16">
        <v>12.38</v>
      </c>
      <c r="F92" s="16">
        <v>9.3580000000000005</v>
      </c>
      <c r="G92" s="25">
        <v>599105.16321039631</v>
      </c>
      <c r="H92" s="21">
        <f>G92/VLOOKUP(B92, exchange_rates6[], 2, FALSE)</f>
        <v>12071.431859971715</v>
      </c>
      <c r="I92" s="16">
        <f>HDI_Data5[[#This Row],[Expected Schooling ]]/18</f>
        <v>0.68777777777777782</v>
      </c>
      <c r="J92" s="16">
        <f>HDI_Data5[[#This Row],[Mean schooling ]]/15</f>
        <v>0.62386666666666668</v>
      </c>
      <c r="K92" s="22">
        <f>(HDI_Data5[[#This Row],[Life Expectancy ]]-20)/65</f>
        <v>0.77523076923076928</v>
      </c>
      <c r="L92" s="22">
        <f>(HDI_Data5[[#This Row],[EYSI]]+HDI_Data5[[#This Row],[MYSI]])/2</f>
        <v>0.65582222222222231</v>
      </c>
      <c r="M92" s="22">
        <f>( LN( HDI_Data5[[#This Row],[GNI per capita (USD)]] ) - LN(100) ) / ( LN(75000) - LN(100) )</f>
        <v>0.7240745836461524</v>
      </c>
      <c r="N92" s="23">
        <f>POWER((HDI_Data5[[#This Row],[Health Index]]*HDI_Data5[[#This Row],[Education Index]]*HDI_Data5[[#This Row],[Income Index]]), 1/3)</f>
        <v>0.71669351997462161</v>
      </c>
    </row>
    <row r="93" spans="1:14" x14ac:dyDescent="0.3">
      <c r="A93" s="15" t="s">
        <v>23</v>
      </c>
      <c r="B93" s="15">
        <v>2020</v>
      </c>
      <c r="C93" s="15" t="s">
        <v>15</v>
      </c>
      <c r="D93" s="15">
        <v>69.59</v>
      </c>
      <c r="E93" s="16">
        <v>12.58</v>
      </c>
      <c r="F93" s="16">
        <v>7.8310000000000004</v>
      </c>
      <c r="G93" s="25">
        <v>394428.21031201654</v>
      </c>
      <c r="H93" s="21">
        <f>G93/VLOOKUP(B93, exchange_rates6[], 2, FALSE)</f>
        <v>7947.3747796094403</v>
      </c>
      <c r="I93" s="16">
        <f>HDI_Data5[[#This Row],[Expected Schooling ]]/18</f>
        <v>0.69888888888888889</v>
      </c>
      <c r="J93" s="16">
        <f>HDI_Data5[[#This Row],[Mean schooling ]]/15</f>
        <v>0.52206666666666668</v>
      </c>
      <c r="K93" s="22">
        <f>(HDI_Data5[[#This Row],[Life Expectancy ]]-20)/65</f>
        <v>0.76292307692307693</v>
      </c>
      <c r="L93" s="22">
        <f>(HDI_Data5[[#This Row],[EYSI]]+HDI_Data5[[#This Row],[MYSI]])/2</f>
        <v>0.61047777777777779</v>
      </c>
      <c r="M93" s="22">
        <f>( LN( HDI_Data5[[#This Row],[GNI per capita (USD)]] ) - LN(100) ) / ( LN(75000) - LN(100) )</f>
        <v>0.66093328792941253</v>
      </c>
      <c r="N93" s="23">
        <f>POWER((HDI_Data5[[#This Row],[Health Index]]*HDI_Data5[[#This Row],[Education Index]]*HDI_Data5[[#This Row],[Income Index]]), 1/3)</f>
        <v>0.67520566751209854</v>
      </c>
    </row>
    <row r="94" spans="1:14" x14ac:dyDescent="0.3">
      <c r="A94" s="15" t="s">
        <v>24</v>
      </c>
      <c r="B94" s="15">
        <v>2020</v>
      </c>
      <c r="C94" s="15" t="s">
        <v>15</v>
      </c>
      <c r="D94" s="15">
        <v>69.34</v>
      </c>
      <c r="E94" s="16">
        <v>12.4</v>
      </c>
      <c r="F94" s="16">
        <v>7.3419999999999996</v>
      </c>
      <c r="G94" s="25">
        <v>372947.30914921989</v>
      </c>
      <c r="H94" s="21">
        <f>G94/VLOOKUP(B94, exchange_rates6[], 2, FALSE)</f>
        <v>7514.5538817090446</v>
      </c>
      <c r="I94" s="16">
        <f>HDI_Data5[[#This Row],[Expected Schooling ]]/18</f>
        <v>0.68888888888888888</v>
      </c>
      <c r="J94" s="16">
        <f>HDI_Data5[[#This Row],[Mean schooling ]]/15</f>
        <v>0.48946666666666666</v>
      </c>
      <c r="K94" s="22">
        <f>(HDI_Data5[[#This Row],[Life Expectancy ]]-20)/65</f>
        <v>0.75907692307692309</v>
      </c>
      <c r="L94" s="22">
        <f>(HDI_Data5[[#This Row],[EYSI]]+HDI_Data5[[#This Row],[MYSI]])/2</f>
        <v>0.5891777777777778</v>
      </c>
      <c r="M94" s="22">
        <f>( LN( HDI_Data5[[#This Row],[GNI per capita (USD)]] ) - LN(100) ) / ( LN(75000) - LN(100) )</f>
        <v>0.65247416697214611</v>
      </c>
      <c r="N94" s="23">
        <f>POWER((HDI_Data5[[#This Row],[Health Index]]*HDI_Data5[[#This Row],[Education Index]]*HDI_Data5[[#This Row],[Income Index]]), 1/3)</f>
        <v>0.66328242413434879</v>
      </c>
    </row>
    <row r="95" spans="1:14" x14ac:dyDescent="0.3">
      <c r="A95" s="15" t="s">
        <v>18</v>
      </c>
      <c r="B95" s="15">
        <v>2020</v>
      </c>
      <c r="C95" s="15" t="s">
        <v>15</v>
      </c>
      <c r="D95" s="15">
        <v>72.569999999999993</v>
      </c>
      <c r="E95" s="16">
        <v>12.56</v>
      </c>
      <c r="F95" s="16">
        <v>10.32</v>
      </c>
      <c r="G95" s="25">
        <v>636788.22746027366</v>
      </c>
      <c r="H95" s="21">
        <f>G95/VLOOKUP(B95, exchange_rates6[], 2, FALSE)</f>
        <v>12830.711816648673</v>
      </c>
      <c r="I95" s="16">
        <f>HDI_Data5[[#This Row],[Expected Schooling ]]/18</f>
        <v>0.69777777777777783</v>
      </c>
      <c r="J95" s="16">
        <f>HDI_Data5[[#This Row],[Mean schooling ]]/15</f>
        <v>0.68800000000000006</v>
      </c>
      <c r="K95" s="22">
        <f>(HDI_Data5[[#This Row],[Life Expectancy ]]-20)/65</f>
        <v>0.80876923076923068</v>
      </c>
      <c r="L95" s="22">
        <f>(HDI_Data5[[#This Row],[EYSI]]+HDI_Data5[[#This Row],[MYSI]])/2</f>
        <v>0.69288888888888889</v>
      </c>
      <c r="M95" s="22">
        <f>( LN( HDI_Data5[[#This Row],[GNI per capita (USD)]] ) - LN(100) ) / ( LN(75000) - LN(100) )</f>
        <v>0.73328898326031799</v>
      </c>
      <c r="N95" s="23">
        <f>POWER((HDI_Data5[[#This Row],[Health Index]]*HDI_Data5[[#This Row],[Education Index]]*HDI_Data5[[#This Row],[Income Index]]), 1/3)</f>
        <v>0.74345461084331532</v>
      </c>
    </row>
    <row r="96" spans="1:14" x14ac:dyDescent="0.3">
      <c r="A96" s="15" t="s">
        <v>25</v>
      </c>
      <c r="B96" s="15">
        <v>2020</v>
      </c>
      <c r="C96" s="15" t="s">
        <v>15</v>
      </c>
      <c r="D96" s="15">
        <v>69.400000000000006</v>
      </c>
      <c r="E96" s="16">
        <v>11.73</v>
      </c>
      <c r="F96" s="16">
        <v>7.9779999999999998</v>
      </c>
      <c r="G96" s="25">
        <v>397994.0865783912</v>
      </c>
      <c r="H96" s="21">
        <f>G96/VLOOKUP(B96, exchange_rates6[], 2, FALSE)</f>
        <v>8019.2239890870678</v>
      </c>
      <c r="I96" s="16">
        <f>HDI_Data5[[#This Row],[Expected Schooling ]]/18</f>
        <v>0.65166666666666673</v>
      </c>
      <c r="J96" s="16">
        <f>HDI_Data5[[#This Row],[Mean schooling ]]/15</f>
        <v>0.5318666666666666</v>
      </c>
      <c r="K96" s="22">
        <f>(HDI_Data5[[#This Row],[Life Expectancy ]]-20)/65</f>
        <v>0.76000000000000012</v>
      </c>
      <c r="L96" s="22">
        <f>(HDI_Data5[[#This Row],[EYSI]]+HDI_Data5[[#This Row],[MYSI]])/2</f>
        <v>0.59176666666666666</v>
      </c>
      <c r="M96" s="22">
        <f>( LN( HDI_Data5[[#This Row],[GNI per capita (USD)]] ) - LN(100) ) / ( LN(75000) - LN(100) )</f>
        <v>0.66229278951183046</v>
      </c>
      <c r="N96" s="23">
        <f>POWER((HDI_Data5[[#This Row],[Health Index]]*HDI_Data5[[#This Row],[Education Index]]*HDI_Data5[[#This Row],[Income Index]]), 1/3)</f>
        <v>0.66783837782925082</v>
      </c>
    </row>
    <row r="97" spans="1:14" x14ac:dyDescent="0.3">
      <c r="A97" s="15" t="s">
        <v>26</v>
      </c>
      <c r="B97" s="15">
        <v>2020</v>
      </c>
      <c r="C97" s="15" t="s">
        <v>15</v>
      </c>
      <c r="D97" s="15">
        <v>69.28</v>
      </c>
      <c r="E97" s="16">
        <v>12.71</v>
      </c>
      <c r="F97" s="16">
        <v>8.58</v>
      </c>
      <c r="G97" s="25">
        <v>423450.72154383687</v>
      </c>
      <c r="H97" s="21">
        <f>G97/VLOOKUP(B97, exchange_rates6[], 2, FALSE)</f>
        <v>8532.152358328367</v>
      </c>
      <c r="I97" s="16">
        <f>HDI_Data5[[#This Row],[Expected Schooling ]]/18</f>
        <v>0.70611111111111113</v>
      </c>
      <c r="J97" s="16">
        <f>HDI_Data5[[#This Row],[Mean schooling ]]/15</f>
        <v>0.57199999999999995</v>
      </c>
      <c r="K97" s="22">
        <f>(HDI_Data5[[#This Row],[Life Expectancy ]]-20)/65</f>
        <v>0.75815384615384618</v>
      </c>
      <c r="L97" s="22">
        <f>(HDI_Data5[[#This Row],[EYSI]]+HDI_Data5[[#This Row],[MYSI]])/2</f>
        <v>0.63905555555555549</v>
      </c>
      <c r="M97" s="22">
        <f>( LN( HDI_Data5[[#This Row],[GNI per capita (USD)]] ) - LN(100) ) / ( LN(75000) - LN(100) )</f>
        <v>0.67165824485737546</v>
      </c>
      <c r="N97" s="23">
        <f>POWER((HDI_Data5[[#This Row],[Health Index]]*HDI_Data5[[#This Row],[Education Index]]*HDI_Data5[[#This Row],[Income Index]]), 1/3)</f>
        <v>0.68783050994337891</v>
      </c>
    </row>
    <row r="98" spans="1:14" x14ac:dyDescent="0.3">
      <c r="A98" s="15" t="s">
        <v>27</v>
      </c>
      <c r="B98" s="15">
        <v>2020</v>
      </c>
      <c r="C98" s="15" t="s">
        <v>15</v>
      </c>
      <c r="D98" s="15">
        <v>69.819999999999993</v>
      </c>
      <c r="E98" s="16">
        <v>12.47</v>
      </c>
      <c r="F98" s="16">
        <v>8.1150000000000002</v>
      </c>
      <c r="G98" s="25">
        <v>434170.42759587563</v>
      </c>
      <c r="H98" s="21">
        <f>G98/VLOOKUP(B98, exchange_rates6[], 2, FALSE)</f>
        <v>8748.1448236122433</v>
      </c>
      <c r="I98" s="16">
        <f>HDI_Data5[[#This Row],[Expected Schooling ]]/18</f>
        <v>0.69277777777777783</v>
      </c>
      <c r="J98" s="16">
        <f>HDI_Data5[[#This Row],[Mean schooling ]]/15</f>
        <v>0.54100000000000004</v>
      </c>
      <c r="K98" s="22">
        <f>(HDI_Data5[[#This Row],[Life Expectancy ]]-20)/65</f>
        <v>0.76646153846153831</v>
      </c>
      <c r="L98" s="22">
        <f>(HDI_Data5[[#This Row],[EYSI]]+HDI_Data5[[#This Row],[MYSI]])/2</f>
        <v>0.61688888888888893</v>
      </c>
      <c r="M98" s="22">
        <f>( LN( HDI_Data5[[#This Row],[GNI per capita (USD)]] ) - LN(100) ) / ( LN(75000) - LN(100) )</f>
        <v>0.67543463814186955</v>
      </c>
      <c r="N98" s="23">
        <f>POWER((HDI_Data5[[#This Row],[Health Index]]*HDI_Data5[[#This Row],[Education Index]]*HDI_Data5[[#This Row],[Income Index]]), 1/3)</f>
        <v>0.68353414561706161</v>
      </c>
    </row>
    <row r="99" spans="1:14" x14ac:dyDescent="0.3">
      <c r="A99" s="15" t="s">
        <v>28</v>
      </c>
      <c r="B99" s="15">
        <v>2020</v>
      </c>
      <c r="C99" s="15" t="s">
        <v>15</v>
      </c>
      <c r="D99" s="15">
        <v>69.61</v>
      </c>
      <c r="E99" s="16">
        <v>12.69</v>
      </c>
      <c r="F99" s="16">
        <v>7.8470000000000004</v>
      </c>
      <c r="G99" s="25">
        <v>413822.50389151654</v>
      </c>
      <c r="H99" s="21">
        <f>G99/VLOOKUP(B99, exchange_rates6[], 2, FALSE)</f>
        <v>8338.1524056320068</v>
      </c>
      <c r="I99" s="16">
        <f>HDI_Data5[[#This Row],[Expected Schooling ]]/18</f>
        <v>0.70499999999999996</v>
      </c>
      <c r="J99" s="16">
        <f>HDI_Data5[[#This Row],[Mean schooling ]]/15</f>
        <v>0.52313333333333334</v>
      </c>
      <c r="K99" s="22">
        <f>(HDI_Data5[[#This Row],[Life Expectancy ]]-20)/65</f>
        <v>0.76323076923076927</v>
      </c>
      <c r="L99" s="22">
        <f>(HDI_Data5[[#This Row],[EYSI]]+HDI_Data5[[#This Row],[MYSI]])/2</f>
        <v>0.61406666666666665</v>
      </c>
      <c r="M99" s="22">
        <f>( LN( HDI_Data5[[#This Row],[GNI per capita (USD)]] ) - LN(100) ) / ( LN(75000) - LN(100) )</f>
        <v>0.66818396303564109</v>
      </c>
      <c r="N99" s="23">
        <f>POWER((HDI_Data5[[#This Row],[Health Index]]*HDI_Data5[[#This Row],[Education Index]]*HDI_Data5[[#This Row],[Income Index]]), 1/3)</f>
        <v>0.6790824088927272</v>
      </c>
    </row>
    <row r="100" spans="1:14" x14ac:dyDescent="0.3">
      <c r="A100" s="15" t="s">
        <v>29</v>
      </c>
      <c r="B100" s="15">
        <v>2020</v>
      </c>
      <c r="C100" s="15" t="s">
        <v>15</v>
      </c>
      <c r="D100" s="15">
        <v>70.400000000000006</v>
      </c>
      <c r="E100" s="16">
        <v>12.41</v>
      </c>
      <c r="F100" s="16">
        <v>8.1929999999999996</v>
      </c>
      <c r="G100" s="25">
        <v>458260.20103853394</v>
      </c>
      <c r="H100" s="21">
        <f>G100/VLOOKUP(B100, exchange_rates6[], 2, FALSE)</f>
        <v>9233.5321587453946</v>
      </c>
      <c r="I100" s="16">
        <f>HDI_Data5[[#This Row],[Expected Schooling ]]/18</f>
        <v>0.68944444444444442</v>
      </c>
      <c r="J100" s="16">
        <f>HDI_Data5[[#This Row],[Mean schooling ]]/15</f>
        <v>0.54620000000000002</v>
      </c>
      <c r="K100" s="22">
        <f>(HDI_Data5[[#This Row],[Life Expectancy ]]-20)/65</f>
        <v>0.77538461538461545</v>
      </c>
      <c r="L100" s="22">
        <f>(HDI_Data5[[#This Row],[EYSI]]+HDI_Data5[[#This Row],[MYSI]])/2</f>
        <v>0.61782222222222227</v>
      </c>
      <c r="M100" s="22">
        <f>( LN( HDI_Data5[[#This Row],[GNI per capita (USD)]] ) - LN(100) ) / ( LN(75000) - LN(100) )</f>
        <v>0.6835916476363767</v>
      </c>
      <c r="N100" s="23">
        <f>POWER((HDI_Data5[[#This Row],[Health Index]]*HDI_Data5[[#This Row],[Education Index]]*HDI_Data5[[#This Row],[Income Index]]), 1/3)</f>
        <v>0.68927493227361558</v>
      </c>
    </row>
    <row r="101" spans="1:14" x14ac:dyDescent="0.3">
      <c r="A101" s="15" t="s">
        <v>30</v>
      </c>
      <c r="B101" s="15">
        <v>2020</v>
      </c>
      <c r="C101" s="15" t="s">
        <v>15</v>
      </c>
      <c r="D101" s="15">
        <v>71.400000000000006</v>
      </c>
      <c r="E101" s="16">
        <v>12.64</v>
      </c>
      <c r="F101" s="16">
        <v>8.0950000000000006</v>
      </c>
      <c r="G101" s="25">
        <v>417563.71663071477</v>
      </c>
      <c r="H101" s="21">
        <f>G101/VLOOKUP(B101, exchange_rates6[], 2, FALSE)</f>
        <v>8413.534487824194</v>
      </c>
      <c r="I101" s="16">
        <f>HDI_Data5[[#This Row],[Expected Schooling ]]/18</f>
        <v>0.7022222222222223</v>
      </c>
      <c r="J101" s="16">
        <f>HDI_Data5[[#This Row],[Mean schooling ]]/15</f>
        <v>0.53966666666666674</v>
      </c>
      <c r="K101" s="22">
        <f>(HDI_Data5[[#This Row],[Life Expectancy ]]-20)/65</f>
        <v>0.79076923076923089</v>
      </c>
      <c r="L101" s="22">
        <f>(HDI_Data5[[#This Row],[EYSI]]+HDI_Data5[[#This Row],[MYSI]])/2</f>
        <v>0.62094444444444452</v>
      </c>
      <c r="M101" s="22">
        <f>( LN( HDI_Data5[[#This Row],[GNI per capita (USD)]] ) - LN(100) ) / ( LN(75000) - LN(100) )</f>
        <v>0.66954346461805891</v>
      </c>
      <c r="N101" s="23">
        <f>POWER((HDI_Data5[[#This Row],[Health Index]]*HDI_Data5[[#This Row],[Education Index]]*HDI_Data5[[#This Row],[Income Index]]), 1/3)</f>
        <v>0.69017691321501473</v>
      </c>
    </row>
    <row r="102" spans="1:14" x14ac:dyDescent="0.3">
      <c r="A102" s="15" t="s">
        <v>31</v>
      </c>
      <c r="B102" s="15">
        <v>2020</v>
      </c>
      <c r="C102" s="15" t="s">
        <v>15</v>
      </c>
      <c r="D102" s="15">
        <v>68.430000000000007</v>
      </c>
      <c r="E102" s="16">
        <v>12.08</v>
      </c>
      <c r="F102" s="16">
        <v>7.6970000000000001</v>
      </c>
      <c r="G102" s="25">
        <v>378962.4589715373</v>
      </c>
      <c r="H102" s="21">
        <f>G102/VLOOKUP(B102, exchange_rates6[], 2, FALSE)</f>
        <v>7635.753757234279</v>
      </c>
      <c r="I102" s="16">
        <f>HDI_Data5[[#This Row],[Expected Schooling ]]/18</f>
        <v>0.6711111111111111</v>
      </c>
      <c r="J102" s="16">
        <f>HDI_Data5[[#This Row],[Mean schooling ]]/15</f>
        <v>0.51313333333333333</v>
      </c>
      <c r="K102" s="22">
        <f>(HDI_Data5[[#This Row],[Life Expectancy ]]-20)/65</f>
        <v>0.74507692307692319</v>
      </c>
      <c r="L102" s="22">
        <f>(HDI_Data5[[#This Row],[EYSI]]+HDI_Data5[[#This Row],[MYSI]])/2</f>
        <v>0.59212222222222222</v>
      </c>
      <c r="M102" s="22">
        <f>( LN( HDI_Data5[[#This Row],[GNI per capita (USD)]] ) - LN(100) ) / ( LN(75000) - LN(100) )</f>
        <v>0.65489105867422226</v>
      </c>
      <c r="N102" s="23">
        <f>POWER((HDI_Data5[[#This Row],[Health Index]]*HDI_Data5[[#This Row],[Education Index]]*HDI_Data5[[#This Row],[Income Index]]), 1/3)</f>
        <v>0.66108988341431574</v>
      </c>
    </row>
    <row r="103" spans="1:14" x14ac:dyDescent="0.3">
      <c r="A103" s="15" t="s">
        <v>32</v>
      </c>
      <c r="B103" s="15">
        <v>2020</v>
      </c>
      <c r="C103" s="15" t="s">
        <v>15</v>
      </c>
      <c r="D103" s="15">
        <v>71.040000000000006</v>
      </c>
      <c r="E103" s="16">
        <v>12.5</v>
      </c>
      <c r="F103" s="16">
        <v>7.9710000000000001</v>
      </c>
      <c r="G103" s="25">
        <v>449635.45179624867</v>
      </c>
      <c r="H103" s="21">
        <f>G103/VLOOKUP(B103, exchange_rates6[], 2, FALSE)</f>
        <v>9059.7511947662424</v>
      </c>
      <c r="I103" s="16">
        <f>HDI_Data5[[#This Row],[Expected Schooling ]]/18</f>
        <v>0.69444444444444442</v>
      </c>
      <c r="J103" s="16">
        <f>HDI_Data5[[#This Row],[Mean schooling ]]/15</f>
        <v>0.53139999999999998</v>
      </c>
      <c r="K103" s="22">
        <f>(HDI_Data5[[#This Row],[Life Expectancy ]]-20)/65</f>
        <v>0.78523076923076929</v>
      </c>
      <c r="L103" s="22">
        <f>(HDI_Data5[[#This Row],[EYSI]]+HDI_Data5[[#This Row],[MYSI]])/2</f>
        <v>0.61292222222222215</v>
      </c>
      <c r="M103" s="22">
        <f>( LN( HDI_Data5[[#This Row],[GNI per capita (USD)]] ) - LN(100) ) / ( LN(75000) - LN(100) )</f>
        <v>0.6807215887401612</v>
      </c>
      <c r="N103" s="23">
        <f>POWER((HDI_Data5[[#This Row],[Health Index]]*HDI_Data5[[#This Row],[Education Index]]*HDI_Data5[[#This Row],[Income Index]]), 1/3)</f>
        <v>0.68937796911806315</v>
      </c>
    </row>
    <row r="104" spans="1:14" x14ac:dyDescent="0.3">
      <c r="A104" s="15" t="s">
        <v>16</v>
      </c>
      <c r="B104" s="15">
        <v>2021</v>
      </c>
      <c r="C104" s="15" t="s">
        <v>14</v>
      </c>
      <c r="D104" s="15">
        <v>69.73</v>
      </c>
      <c r="E104" s="16">
        <v>12.41</v>
      </c>
      <c r="F104" s="16">
        <v>6.8040000000000003</v>
      </c>
      <c r="G104" s="25">
        <v>167113.58827914653</v>
      </c>
      <c r="H104" s="21">
        <f>G104/VLOOKUP(B104, exchange_rates6[], 2, FALSE)</f>
        <v>3481.5330891488861</v>
      </c>
      <c r="I104" s="16">
        <f>HDI_Data5[[#This Row],[Expected Schooling ]]/18</f>
        <v>0.68944444444444442</v>
      </c>
      <c r="J104" s="16">
        <f>HDI_Data5[[#This Row],[Mean schooling ]]/15</f>
        <v>0.4536</v>
      </c>
      <c r="K104" s="22">
        <f>(HDI_Data5[[#This Row],[Life Expectancy ]]-20)/65</f>
        <v>0.7650769230769231</v>
      </c>
      <c r="L104" s="22">
        <f>(HDI_Data5[[#This Row],[EYSI]]+HDI_Data5[[#This Row],[MYSI]])/2</f>
        <v>0.57152222222222226</v>
      </c>
      <c r="M104" s="22">
        <f>( LN( HDI_Data5[[#This Row],[GNI per capita (USD)]] ) - LN(100) ) / ( LN(75000) - LN(100) )</f>
        <v>0.5362565823481894</v>
      </c>
      <c r="N104" s="23">
        <f>POWER((HDI_Data5[[#This Row],[Health Index]]*HDI_Data5[[#This Row],[Education Index]]*HDI_Data5[[#This Row],[Income Index]]), 1/3)</f>
        <v>0.61664746911460344</v>
      </c>
    </row>
    <row r="105" spans="1:14" x14ac:dyDescent="0.3">
      <c r="A105" s="15" t="s">
        <v>17</v>
      </c>
      <c r="B105" s="15">
        <v>2021</v>
      </c>
      <c r="C105" s="15" t="s">
        <v>14</v>
      </c>
      <c r="D105" s="15">
        <v>73.61</v>
      </c>
      <c r="E105" s="16">
        <v>13.87</v>
      </c>
      <c r="F105" s="16">
        <v>10.19</v>
      </c>
      <c r="G105" s="25">
        <v>367849.44975727162</v>
      </c>
      <c r="H105" s="21">
        <f>G105/VLOOKUP(B105, exchange_rates6[], 2, FALSE)</f>
        <v>7663.5302032764921</v>
      </c>
      <c r="I105" s="16">
        <f>HDI_Data5[[#This Row],[Expected Schooling ]]/18</f>
        <v>0.77055555555555555</v>
      </c>
      <c r="J105" s="16">
        <f>HDI_Data5[[#This Row],[Mean schooling ]]/15</f>
        <v>0.67933333333333334</v>
      </c>
      <c r="K105" s="22">
        <f>(HDI_Data5[[#This Row],[Life Expectancy ]]-20)/65</f>
        <v>0.82476923076923081</v>
      </c>
      <c r="L105" s="22">
        <f>(HDI_Data5[[#This Row],[EYSI]]+HDI_Data5[[#This Row],[MYSI]])/2</f>
        <v>0.72494444444444439</v>
      </c>
      <c r="M105" s="22">
        <f>( LN( HDI_Data5[[#This Row],[GNI per capita (USD)]] ) - LN(100) ) / ( LN(75000) - LN(100) )</f>
        <v>0.65543955440682056</v>
      </c>
      <c r="N105" s="23">
        <f>POWER((HDI_Data5[[#This Row],[Health Index]]*HDI_Data5[[#This Row],[Education Index]]*HDI_Data5[[#This Row],[Income Index]]), 1/3)</f>
        <v>0.73179584795708741</v>
      </c>
    </row>
    <row r="106" spans="1:14" x14ac:dyDescent="0.3">
      <c r="A106" s="15" t="s">
        <v>19</v>
      </c>
      <c r="B106" s="15">
        <v>2021</v>
      </c>
      <c r="C106" s="15" t="s">
        <v>14</v>
      </c>
      <c r="D106" s="15">
        <v>69.010000000000005</v>
      </c>
      <c r="E106" s="16">
        <v>13.43</v>
      </c>
      <c r="F106" s="16">
        <v>9.6649999999999991</v>
      </c>
      <c r="G106" s="25">
        <v>374905.40864662256</v>
      </c>
      <c r="H106" s="21">
        <f>G106/VLOOKUP(B106, exchange_rates6[], 2, FALSE)</f>
        <v>7810.5293468046366</v>
      </c>
      <c r="I106" s="16">
        <f>HDI_Data5[[#This Row],[Expected Schooling ]]/18</f>
        <v>0.74611111111111106</v>
      </c>
      <c r="J106" s="16">
        <f>HDI_Data5[[#This Row],[Mean schooling ]]/15</f>
        <v>0.64433333333333331</v>
      </c>
      <c r="K106" s="22">
        <f>(HDI_Data5[[#This Row],[Life Expectancy ]]-20)/65</f>
        <v>0.75400000000000011</v>
      </c>
      <c r="L106" s="22">
        <f>(HDI_Data5[[#This Row],[EYSI]]+HDI_Data5[[#This Row],[MYSI]])/2</f>
        <v>0.69522222222222219</v>
      </c>
      <c r="M106" s="22">
        <f>( LN( HDI_Data5[[#This Row],[GNI per capita (USD)]] ) - LN(100) ) / ( LN(75000) - LN(100) )</f>
        <v>0.65830961330303606</v>
      </c>
      <c r="N106" s="23">
        <f>POWER((HDI_Data5[[#This Row],[Health Index]]*HDI_Data5[[#This Row],[Education Index]]*HDI_Data5[[#This Row],[Income Index]]), 1/3)</f>
        <v>0.70141502207835438</v>
      </c>
    </row>
    <row r="107" spans="1:14" x14ac:dyDescent="0.3">
      <c r="A107" s="15" t="s">
        <v>20</v>
      </c>
      <c r="B107" s="15">
        <v>2021</v>
      </c>
      <c r="C107" s="15" t="s">
        <v>14</v>
      </c>
      <c r="D107" s="15">
        <v>73.45</v>
      </c>
      <c r="E107" s="16">
        <v>13.72</v>
      </c>
      <c r="F107" s="16">
        <v>8.6929999999999996</v>
      </c>
      <c r="G107" s="25">
        <v>334177.98843515466</v>
      </c>
      <c r="H107" s="21">
        <f>G107/VLOOKUP(B107, exchange_rates6[], 2, FALSE)</f>
        <v>6962.0414257323891</v>
      </c>
      <c r="I107" s="16">
        <f>HDI_Data5[[#This Row],[Expected Schooling ]]/18</f>
        <v>0.76222222222222225</v>
      </c>
      <c r="J107" s="16">
        <f>HDI_Data5[[#This Row],[Mean schooling ]]/15</f>
        <v>0.57953333333333334</v>
      </c>
      <c r="K107" s="22">
        <f>(HDI_Data5[[#This Row],[Life Expectancy ]]-20)/65</f>
        <v>0.82230769230769241</v>
      </c>
      <c r="L107" s="22">
        <f>(HDI_Data5[[#This Row],[EYSI]]+HDI_Data5[[#This Row],[MYSI]])/2</f>
        <v>0.6708777777777778</v>
      </c>
      <c r="M107" s="22">
        <f>( LN( HDI_Data5[[#This Row],[GNI per capita (USD)]] ) - LN(100) ) / ( LN(75000) - LN(100) )</f>
        <v>0.64093820419436354</v>
      </c>
      <c r="N107" s="23">
        <f>POWER((HDI_Data5[[#This Row],[Health Index]]*HDI_Data5[[#This Row],[Education Index]]*HDI_Data5[[#This Row],[Income Index]]), 1/3)</f>
        <v>0.70712790005425996</v>
      </c>
    </row>
    <row r="108" spans="1:14" x14ac:dyDescent="0.3">
      <c r="A108" s="15" t="s">
        <v>21</v>
      </c>
      <c r="B108" s="15">
        <v>2021</v>
      </c>
      <c r="C108" s="15" t="s">
        <v>14</v>
      </c>
      <c r="D108" s="15">
        <v>71.83</v>
      </c>
      <c r="E108" s="16">
        <v>13.15</v>
      </c>
      <c r="F108" s="16">
        <v>9.3949999999999996</v>
      </c>
      <c r="G108" s="25">
        <v>410622.27399440511</v>
      </c>
      <c r="H108" s="21">
        <f>G108/VLOOKUP(B108, exchange_rates6[], 2, FALSE)</f>
        <v>8554.6307082167732</v>
      </c>
      <c r="I108" s="16">
        <f>HDI_Data5[[#This Row],[Expected Schooling ]]/18</f>
        <v>0.73055555555555562</v>
      </c>
      <c r="J108" s="16">
        <f>HDI_Data5[[#This Row],[Mean schooling ]]/15</f>
        <v>0.6263333333333333</v>
      </c>
      <c r="K108" s="22">
        <f>(HDI_Data5[[#This Row],[Life Expectancy ]]-20)/65</f>
        <v>0.79738461538461536</v>
      </c>
      <c r="L108" s="22">
        <f>(HDI_Data5[[#This Row],[EYSI]]+HDI_Data5[[#This Row],[MYSI]])/2</f>
        <v>0.67844444444444441</v>
      </c>
      <c r="M108" s="22">
        <f>( LN( HDI_Data5[[#This Row],[GNI per capita (USD)]] ) - LN(100) ) / ( LN(75000) - LN(100) )</f>
        <v>0.67205568485859435</v>
      </c>
      <c r="N108" s="23">
        <f>POWER((HDI_Data5[[#This Row],[Health Index]]*HDI_Data5[[#This Row],[Education Index]]*HDI_Data5[[#This Row],[Income Index]]), 1/3)</f>
        <v>0.71372208240485646</v>
      </c>
    </row>
    <row r="109" spans="1:14" x14ac:dyDescent="0.3">
      <c r="A109" s="15" t="s">
        <v>22</v>
      </c>
      <c r="B109" s="15">
        <v>2021</v>
      </c>
      <c r="C109" s="15" t="s">
        <v>14</v>
      </c>
      <c r="D109" s="15">
        <v>71.3</v>
      </c>
      <c r="E109" s="16">
        <v>13.23</v>
      </c>
      <c r="F109" s="16">
        <v>9.6780000000000008</v>
      </c>
      <c r="G109" s="25">
        <v>410622.27399440511</v>
      </c>
      <c r="H109" s="21">
        <f>G109/VLOOKUP(B109, exchange_rates6[], 2, FALSE)</f>
        <v>8554.6307082167732</v>
      </c>
      <c r="I109" s="16">
        <f>HDI_Data5[[#This Row],[Expected Schooling ]]/18</f>
        <v>0.73499999999999999</v>
      </c>
      <c r="J109" s="16">
        <f>HDI_Data5[[#This Row],[Mean schooling ]]/15</f>
        <v>0.64520000000000011</v>
      </c>
      <c r="K109" s="22">
        <f>(HDI_Data5[[#This Row],[Life Expectancy ]]-20)/65</f>
        <v>0.78923076923076918</v>
      </c>
      <c r="L109" s="22">
        <f>(HDI_Data5[[#This Row],[EYSI]]+HDI_Data5[[#This Row],[MYSI]])/2</f>
        <v>0.69010000000000005</v>
      </c>
      <c r="M109" s="22">
        <f>( LN( HDI_Data5[[#This Row],[GNI per capita (USD)]] ) - LN(100) ) / ( LN(75000) - LN(100) )</f>
        <v>0.67205568485859435</v>
      </c>
      <c r="N109" s="23">
        <f>POWER((HDI_Data5[[#This Row],[Health Index]]*HDI_Data5[[#This Row],[Education Index]]*HDI_Data5[[#This Row],[Income Index]]), 1/3)</f>
        <v>0.71533108570830684</v>
      </c>
    </row>
    <row r="110" spans="1:14" x14ac:dyDescent="0.3">
      <c r="A110" s="15" t="s">
        <v>23</v>
      </c>
      <c r="B110" s="15">
        <v>2021</v>
      </c>
      <c r="C110" s="15" t="s">
        <v>14</v>
      </c>
      <c r="D110" s="15">
        <v>70.73</v>
      </c>
      <c r="E110" s="16">
        <v>13.43</v>
      </c>
      <c r="F110" s="16">
        <v>8.6809999999999992</v>
      </c>
      <c r="G110" s="25">
        <v>284198.73101562529</v>
      </c>
      <c r="H110" s="21">
        <f>G110/VLOOKUP(B110, exchange_rates6[], 2, FALSE)</f>
        <v>5920.8068961588606</v>
      </c>
      <c r="I110" s="16">
        <f>HDI_Data5[[#This Row],[Expected Schooling ]]/18</f>
        <v>0.74611111111111106</v>
      </c>
      <c r="J110" s="16">
        <f>HDI_Data5[[#This Row],[Mean schooling ]]/15</f>
        <v>0.57873333333333332</v>
      </c>
      <c r="K110" s="22">
        <f>(HDI_Data5[[#This Row],[Life Expectancy ]]-20)/65</f>
        <v>0.78046153846153854</v>
      </c>
      <c r="L110" s="22">
        <f>(HDI_Data5[[#This Row],[EYSI]]+HDI_Data5[[#This Row],[MYSI]])/2</f>
        <v>0.66242222222222225</v>
      </c>
      <c r="M110" s="22">
        <f>( LN( HDI_Data5[[#This Row],[GNI per capita (USD)]] ) - LN(100) ) / ( LN(75000) - LN(100) )</f>
        <v>0.61646717571084275</v>
      </c>
      <c r="N110" s="23">
        <f>POWER((HDI_Data5[[#This Row],[Health Index]]*HDI_Data5[[#This Row],[Education Index]]*HDI_Data5[[#This Row],[Income Index]]), 1/3)</f>
        <v>0.68307037783335556</v>
      </c>
    </row>
    <row r="111" spans="1:14" x14ac:dyDescent="0.3">
      <c r="A111" s="15" t="s">
        <v>24</v>
      </c>
      <c r="B111" s="15">
        <v>2021</v>
      </c>
      <c r="C111" s="15" t="s">
        <v>14</v>
      </c>
      <c r="D111" s="15">
        <v>69.92</v>
      </c>
      <c r="E111" s="16">
        <v>13.27</v>
      </c>
      <c r="F111" s="16">
        <v>7.9370000000000003</v>
      </c>
      <c r="G111" s="25">
        <v>269259.00239127176</v>
      </c>
      <c r="H111" s="21">
        <f>G111/VLOOKUP(B111, exchange_rates6[], 2, FALSE)</f>
        <v>5609.5625498181616</v>
      </c>
      <c r="I111" s="16">
        <f>HDI_Data5[[#This Row],[Expected Schooling ]]/18</f>
        <v>0.73722222222222222</v>
      </c>
      <c r="J111" s="16">
        <f>HDI_Data5[[#This Row],[Mean schooling ]]/15</f>
        <v>0.52913333333333334</v>
      </c>
      <c r="K111" s="22">
        <f>(HDI_Data5[[#This Row],[Life Expectancy ]]-20)/65</f>
        <v>0.76800000000000002</v>
      </c>
      <c r="L111" s="22">
        <f>(HDI_Data5[[#This Row],[EYSI]]+HDI_Data5[[#This Row],[MYSI]])/2</f>
        <v>0.63317777777777784</v>
      </c>
      <c r="M111" s="22">
        <f>( LN( HDI_Data5[[#This Row],[GNI per capita (USD)]] ) - LN(100) ) / ( LN(75000) - LN(100) )</f>
        <v>0.60831016621633527</v>
      </c>
      <c r="N111" s="23">
        <f>POWER((HDI_Data5[[#This Row],[Health Index]]*HDI_Data5[[#This Row],[Education Index]]*HDI_Data5[[#This Row],[Income Index]]), 1/3)</f>
        <v>0.66630128827379953</v>
      </c>
    </row>
    <row r="112" spans="1:14" x14ac:dyDescent="0.3">
      <c r="A112" s="15" t="s">
        <v>18</v>
      </c>
      <c r="B112" s="15">
        <v>2021</v>
      </c>
      <c r="C112" s="15" t="s">
        <v>14</v>
      </c>
      <c r="D112" s="15">
        <v>74.099999999999994</v>
      </c>
      <c r="E112" s="16">
        <v>13.23</v>
      </c>
      <c r="F112" s="16">
        <v>10.5</v>
      </c>
      <c r="G112" s="25">
        <v>421438.45415573934</v>
      </c>
      <c r="H112" s="21">
        <f>G112/VLOOKUP(B112, exchange_rates6[], 2, FALSE)</f>
        <v>8779.9677949112356</v>
      </c>
      <c r="I112" s="16">
        <f>HDI_Data5[[#This Row],[Expected Schooling ]]/18</f>
        <v>0.73499999999999999</v>
      </c>
      <c r="J112" s="16">
        <f>HDI_Data5[[#This Row],[Mean schooling ]]/15</f>
        <v>0.7</v>
      </c>
      <c r="K112" s="22">
        <f>(HDI_Data5[[#This Row],[Life Expectancy ]]-20)/65</f>
        <v>0.83230769230769219</v>
      </c>
      <c r="L112" s="22">
        <f>(HDI_Data5[[#This Row],[EYSI]]+HDI_Data5[[#This Row],[MYSI]])/2</f>
        <v>0.71750000000000003</v>
      </c>
      <c r="M112" s="22">
        <f>( LN( HDI_Data5[[#This Row],[GNI per capita (USD)]] ) - LN(100) ) / ( LN(75000) - LN(100) )</f>
        <v>0.67598313387446818</v>
      </c>
      <c r="N112" s="23">
        <f>POWER((HDI_Data5[[#This Row],[Health Index]]*HDI_Data5[[#This Row],[Education Index]]*HDI_Data5[[#This Row],[Income Index]]), 1/3)</f>
        <v>0.73906146409464124</v>
      </c>
    </row>
    <row r="113" spans="1:14" x14ac:dyDescent="0.3">
      <c r="A113" s="15" t="s">
        <v>25</v>
      </c>
      <c r="B113" s="15">
        <v>2021</v>
      </c>
      <c r="C113" s="15" t="s">
        <v>14</v>
      </c>
      <c r="D113" s="15">
        <v>70.73</v>
      </c>
      <c r="E113" s="16">
        <v>12.49</v>
      </c>
      <c r="F113" s="16">
        <v>8.5909999999999993</v>
      </c>
      <c r="G113" s="25">
        <v>289650.1312114803</v>
      </c>
      <c r="H113" s="21">
        <f>G113/VLOOKUP(B113, exchange_rates6[], 2, FALSE)</f>
        <v>6034.3777335725063</v>
      </c>
      <c r="I113" s="16">
        <f>HDI_Data5[[#This Row],[Expected Schooling ]]/18</f>
        <v>0.69388888888888889</v>
      </c>
      <c r="J113" s="16">
        <f>HDI_Data5[[#This Row],[Mean schooling ]]/15</f>
        <v>0.57273333333333332</v>
      </c>
      <c r="K113" s="22">
        <f>(HDI_Data5[[#This Row],[Life Expectancy ]]-20)/65</f>
        <v>0.78046153846153854</v>
      </c>
      <c r="L113" s="22">
        <f>(HDI_Data5[[#This Row],[EYSI]]+HDI_Data5[[#This Row],[MYSI]])/2</f>
        <v>0.63331111111111116</v>
      </c>
      <c r="M113" s="22">
        <f>( LN( HDI_Data5[[#This Row],[GNI per capita (USD)]] ) - LN(100) ) / ( LN(75000) - LN(100) )</f>
        <v>0.61933723460705792</v>
      </c>
      <c r="N113" s="23">
        <f>POWER((HDI_Data5[[#This Row],[Health Index]]*HDI_Data5[[#This Row],[Education Index]]*HDI_Data5[[#This Row],[Income Index]]), 1/3)</f>
        <v>0.67395660611271635</v>
      </c>
    </row>
    <row r="114" spans="1:14" x14ac:dyDescent="0.3">
      <c r="A114" s="15" t="s">
        <v>26</v>
      </c>
      <c r="B114" s="15">
        <v>2021</v>
      </c>
      <c r="C114" s="15" t="s">
        <v>14</v>
      </c>
      <c r="D114" s="15">
        <v>71.069999999999993</v>
      </c>
      <c r="E114" s="16">
        <v>13.42</v>
      </c>
      <c r="F114" s="16">
        <v>9.2319999999999993</v>
      </c>
      <c r="G114" s="25">
        <v>307868.80995886103</v>
      </c>
      <c r="H114" s="21">
        <f>G114/VLOOKUP(B114, exchange_rates6[], 2, FALSE)</f>
        <v>6413.9335408096049</v>
      </c>
      <c r="I114" s="16">
        <f>HDI_Data5[[#This Row],[Expected Schooling ]]/18</f>
        <v>0.74555555555555553</v>
      </c>
      <c r="J114" s="16">
        <f>HDI_Data5[[#This Row],[Mean schooling ]]/15</f>
        <v>0.61546666666666661</v>
      </c>
      <c r="K114" s="22">
        <f>(HDI_Data5[[#This Row],[Life Expectancy ]]-20)/65</f>
        <v>0.78569230769230758</v>
      </c>
      <c r="L114" s="22">
        <f>(HDI_Data5[[#This Row],[EYSI]]+HDI_Data5[[#This Row],[MYSI]])/2</f>
        <v>0.68051111111111107</v>
      </c>
      <c r="M114" s="22">
        <f>( LN( HDI_Data5[[#This Row],[GNI per capita (USD)]] ) - LN(100) ) / ( LN(75000) - LN(100) )</f>
        <v>0.62855163422122329</v>
      </c>
      <c r="N114" s="23">
        <f>POWER((HDI_Data5[[#This Row],[Health Index]]*HDI_Data5[[#This Row],[Education Index]]*HDI_Data5[[#This Row],[Income Index]]), 1/3)</f>
        <v>0.69525303583175491</v>
      </c>
    </row>
    <row r="115" spans="1:14" x14ac:dyDescent="0.3">
      <c r="A115" s="15" t="s">
        <v>27</v>
      </c>
      <c r="B115" s="15">
        <v>2021</v>
      </c>
      <c r="C115" s="15" t="s">
        <v>14</v>
      </c>
      <c r="D115" s="15">
        <v>70.89</v>
      </c>
      <c r="E115" s="16">
        <v>13.2</v>
      </c>
      <c r="F115" s="16">
        <v>8.5990000000000002</v>
      </c>
      <c r="G115" s="25">
        <v>303892.41797796765</v>
      </c>
      <c r="H115" s="21">
        <f>G115/VLOOKUP(B115, exchange_rates6[], 2, FALSE)</f>
        <v>6331.0920412076593</v>
      </c>
      <c r="I115" s="16">
        <f>HDI_Data5[[#This Row],[Expected Schooling ]]/18</f>
        <v>0.73333333333333328</v>
      </c>
      <c r="J115" s="16">
        <f>HDI_Data5[[#This Row],[Mean schooling ]]/15</f>
        <v>0.5732666666666667</v>
      </c>
      <c r="K115" s="22">
        <f>(HDI_Data5[[#This Row],[Life Expectancy ]]-20)/65</f>
        <v>0.78292307692307694</v>
      </c>
      <c r="L115" s="22">
        <f>(HDI_Data5[[#This Row],[EYSI]]+HDI_Data5[[#This Row],[MYSI]])/2</f>
        <v>0.65329999999999999</v>
      </c>
      <c r="M115" s="22">
        <f>( LN( HDI_Data5[[#This Row],[GNI per capita (USD)]] ) - LN(100) ) / ( LN(75000) - LN(100) )</f>
        <v>0.62658790971328637</v>
      </c>
      <c r="N115" s="23">
        <f>POWER((HDI_Data5[[#This Row],[Health Index]]*HDI_Data5[[#This Row],[Education Index]]*HDI_Data5[[#This Row],[Income Index]]), 1/3)</f>
        <v>0.68433894255152372</v>
      </c>
    </row>
    <row r="116" spans="1:14" x14ac:dyDescent="0.3">
      <c r="A116" s="15" t="s">
        <v>28</v>
      </c>
      <c r="B116" s="15">
        <v>2021</v>
      </c>
      <c r="C116" s="15" t="s">
        <v>14</v>
      </c>
      <c r="D116" s="15">
        <v>70.7</v>
      </c>
      <c r="E116" s="16">
        <v>13.71</v>
      </c>
      <c r="F116" s="16">
        <v>8.8130000000000006</v>
      </c>
      <c r="G116" s="25">
        <v>295797.10125286697</v>
      </c>
      <c r="H116" s="21">
        <f>G116/VLOOKUP(B116, exchange_rates6[], 2, FALSE)</f>
        <v>6162.4396094347285</v>
      </c>
      <c r="I116" s="16">
        <f>HDI_Data5[[#This Row],[Expected Schooling ]]/18</f>
        <v>0.76166666666666671</v>
      </c>
      <c r="J116" s="16">
        <f>HDI_Data5[[#This Row],[Mean schooling ]]/15</f>
        <v>0.58753333333333335</v>
      </c>
      <c r="K116" s="22">
        <f>(HDI_Data5[[#This Row],[Life Expectancy ]]-20)/65</f>
        <v>0.78</v>
      </c>
      <c r="L116" s="22">
        <f>(HDI_Data5[[#This Row],[EYSI]]+HDI_Data5[[#This Row],[MYSI]])/2</f>
        <v>0.67460000000000009</v>
      </c>
      <c r="M116" s="22">
        <f>( LN( HDI_Data5[[#This Row],[GNI per capita (USD)]] ) - LN(100) ) / ( LN(75000) - LN(100) )</f>
        <v>0.62250940496603269</v>
      </c>
      <c r="N116" s="23">
        <f>POWER((HDI_Data5[[#This Row],[Health Index]]*HDI_Data5[[#This Row],[Education Index]]*HDI_Data5[[#This Row],[Income Index]]), 1/3)</f>
        <v>0.68933281358411369</v>
      </c>
    </row>
    <row r="117" spans="1:14" x14ac:dyDescent="0.3">
      <c r="A117" s="15" t="s">
        <v>29</v>
      </c>
      <c r="B117" s="15">
        <v>2021</v>
      </c>
      <c r="C117" s="15" t="s">
        <v>14</v>
      </c>
      <c r="D117" s="15">
        <v>71.95</v>
      </c>
      <c r="E117" s="16">
        <v>13.49</v>
      </c>
      <c r="F117" s="16">
        <v>9.0079999999999991</v>
      </c>
      <c r="G117" s="25">
        <v>335853.06257293886</v>
      </c>
      <c r="H117" s="21">
        <f>G117/VLOOKUP(B117, exchange_rates6[], 2, FALSE)</f>
        <v>6996.9388036028931</v>
      </c>
      <c r="I117" s="16">
        <f>HDI_Data5[[#This Row],[Expected Schooling ]]/18</f>
        <v>0.74944444444444447</v>
      </c>
      <c r="J117" s="16">
        <f>HDI_Data5[[#This Row],[Mean schooling ]]/15</f>
        <v>0.60053333333333325</v>
      </c>
      <c r="K117" s="22">
        <f>(HDI_Data5[[#This Row],[Life Expectancy ]]-20)/65</f>
        <v>0.7992307692307693</v>
      </c>
      <c r="L117" s="22">
        <f>(HDI_Data5[[#This Row],[EYSI]]+HDI_Data5[[#This Row],[MYSI]])/2</f>
        <v>0.67498888888888886</v>
      </c>
      <c r="M117" s="22">
        <f>( LN( HDI_Data5[[#This Row],[GNI per capita (USD)]] ) - LN(100) ) / ( LN(75000) - LN(100) )</f>
        <v>0.64169348285126238</v>
      </c>
      <c r="N117" s="23">
        <f>POWER((HDI_Data5[[#This Row],[Health Index]]*HDI_Data5[[#This Row],[Education Index]]*HDI_Data5[[#This Row],[Income Index]]), 1/3)</f>
        <v>0.70215363617696025</v>
      </c>
    </row>
    <row r="118" spans="1:14" x14ac:dyDescent="0.3">
      <c r="A118" s="15" t="s">
        <v>30</v>
      </c>
      <c r="B118" s="15">
        <v>2021</v>
      </c>
      <c r="C118" s="15" t="s">
        <v>14</v>
      </c>
      <c r="D118" s="15">
        <v>73.099999999999994</v>
      </c>
      <c r="E118" s="16">
        <v>13.03</v>
      </c>
      <c r="F118" s="16">
        <v>8.9060000000000006</v>
      </c>
      <c r="G118" s="25">
        <v>310652.13542566996</v>
      </c>
      <c r="H118" s="21">
        <f>G118/VLOOKUP(B118, exchange_rates6[], 2, FALSE)</f>
        <v>6471.9194880347904</v>
      </c>
      <c r="I118" s="16">
        <f>HDI_Data5[[#This Row],[Expected Schooling ]]/18</f>
        <v>0.7238888888888888</v>
      </c>
      <c r="J118" s="16">
        <f>HDI_Data5[[#This Row],[Mean schooling ]]/15</f>
        <v>0.59373333333333334</v>
      </c>
      <c r="K118" s="22">
        <f>(HDI_Data5[[#This Row],[Life Expectancy ]]-20)/65</f>
        <v>0.81692307692307686</v>
      </c>
      <c r="L118" s="22">
        <f>(HDI_Data5[[#This Row],[EYSI]]+HDI_Data5[[#This Row],[MYSI]])/2</f>
        <v>0.65881111111111101</v>
      </c>
      <c r="M118" s="22">
        <f>( LN( HDI_Data5[[#This Row],[GNI per capita (USD)]] ) - LN(100) ) / ( LN(75000) - LN(100) )</f>
        <v>0.62991113580364122</v>
      </c>
      <c r="N118" s="23">
        <f>POWER((HDI_Data5[[#This Row],[Health Index]]*HDI_Data5[[#This Row],[Education Index]]*HDI_Data5[[#This Row],[Income Index]]), 1/3)</f>
        <v>0.69727986079158388</v>
      </c>
    </row>
    <row r="119" spans="1:14" x14ac:dyDescent="0.3">
      <c r="A119" s="15" t="s">
        <v>31</v>
      </c>
      <c r="B119" s="15">
        <v>2021</v>
      </c>
      <c r="C119" s="15" t="s">
        <v>14</v>
      </c>
      <c r="D119" s="15">
        <v>69.790000000000006</v>
      </c>
      <c r="E119" s="16">
        <v>13.2</v>
      </c>
      <c r="F119" s="16">
        <v>8.4429999999999996</v>
      </c>
      <c r="G119" s="25">
        <v>278014.63342998084</v>
      </c>
      <c r="H119" s="21">
        <f>G119/VLOOKUP(B119, exchange_rates6[], 2, FALSE)</f>
        <v>5791.9715297912671</v>
      </c>
      <c r="I119" s="16">
        <f>HDI_Data5[[#This Row],[Expected Schooling ]]/18</f>
        <v>0.73333333333333328</v>
      </c>
      <c r="J119" s="16">
        <f>HDI_Data5[[#This Row],[Mean schooling ]]/15</f>
        <v>0.56286666666666663</v>
      </c>
      <c r="K119" s="22">
        <f>(HDI_Data5[[#This Row],[Life Expectancy ]]-20)/65</f>
        <v>0.76600000000000013</v>
      </c>
      <c r="L119" s="22">
        <f>(HDI_Data5[[#This Row],[EYSI]]+HDI_Data5[[#This Row],[MYSI]])/2</f>
        <v>0.6480999999999999</v>
      </c>
      <c r="M119" s="22">
        <f>( LN( HDI_Data5[[#This Row],[GNI per capita (USD)]] ) - LN(100) ) / ( LN(75000) - LN(100) )</f>
        <v>0.61314394962048768</v>
      </c>
      <c r="N119" s="23">
        <f>POWER((HDI_Data5[[#This Row],[Health Index]]*HDI_Data5[[#This Row],[Education Index]]*HDI_Data5[[#This Row],[Income Index]]), 1/3)</f>
        <v>0.67268397121648404</v>
      </c>
    </row>
    <row r="120" spans="1:14" x14ac:dyDescent="0.3">
      <c r="A120" s="15" t="s">
        <v>32</v>
      </c>
      <c r="B120" s="15">
        <v>2021</v>
      </c>
      <c r="C120" s="15" t="s">
        <v>14</v>
      </c>
      <c r="D120" s="15">
        <v>72.739999999999995</v>
      </c>
      <c r="E120" s="16">
        <v>13.46</v>
      </c>
      <c r="F120" s="16">
        <v>8.9990000000000006</v>
      </c>
      <c r="G120" s="25">
        <v>319473.31542805868</v>
      </c>
      <c r="H120" s="21">
        <f>G120/VLOOKUP(B120, exchange_rates6[], 2, FALSE)</f>
        <v>6655.6940714178891</v>
      </c>
      <c r="I120" s="16">
        <f>HDI_Data5[[#This Row],[Expected Schooling ]]/18</f>
        <v>0.74777777777777787</v>
      </c>
      <c r="J120" s="16">
        <f>HDI_Data5[[#This Row],[Mean schooling ]]/15</f>
        <v>0.59993333333333332</v>
      </c>
      <c r="K120" s="22">
        <f>(HDI_Data5[[#This Row],[Life Expectancy ]]-20)/65</f>
        <v>0.81138461538461526</v>
      </c>
      <c r="L120" s="22">
        <f>(HDI_Data5[[#This Row],[EYSI]]+HDI_Data5[[#This Row],[MYSI]])/2</f>
        <v>0.67385555555555565</v>
      </c>
      <c r="M120" s="22">
        <f>( LN( HDI_Data5[[#This Row],[GNI per capita (USD)]] ) - LN(100) ) / ( LN(75000) - LN(100) )</f>
        <v>0.63414069628227432</v>
      </c>
      <c r="N120" s="23">
        <f>POWER((HDI_Data5[[#This Row],[Health Index]]*HDI_Data5[[#This Row],[Education Index]]*HDI_Data5[[#This Row],[Income Index]]), 1/3)</f>
        <v>0.70252168728513864</v>
      </c>
    </row>
    <row r="121" spans="1:14" x14ac:dyDescent="0.3">
      <c r="A121" s="15" t="s">
        <v>16</v>
      </c>
      <c r="B121" s="15">
        <v>2021</v>
      </c>
      <c r="C121" s="15" t="s">
        <v>15</v>
      </c>
      <c r="D121" s="15">
        <v>65.760000000000005</v>
      </c>
      <c r="E121" s="16">
        <v>10.99</v>
      </c>
      <c r="F121" s="16">
        <v>6.242</v>
      </c>
      <c r="G121" s="25">
        <v>229676.9486594153</v>
      </c>
      <c r="H121" s="21">
        <f>G121/VLOOKUP(B121, exchange_rates6[], 2, FALSE)</f>
        <v>4784.9364304044857</v>
      </c>
      <c r="I121" s="16">
        <f>HDI_Data5[[#This Row],[Expected Schooling ]]/18</f>
        <v>0.61055555555555552</v>
      </c>
      <c r="J121" s="16">
        <f>HDI_Data5[[#This Row],[Mean schooling ]]/15</f>
        <v>0.41613333333333336</v>
      </c>
      <c r="K121" s="22">
        <f>(HDI_Data5[[#This Row],[Life Expectancy ]]-20)/65</f>
        <v>0.70400000000000007</v>
      </c>
      <c r="L121" s="22">
        <f>(HDI_Data5[[#This Row],[EYSI]]+HDI_Data5[[#This Row],[MYSI]])/2</f>
        <v>0.51334444444444438</v>
      </c>
      <c r="M121" s="22">
        <f>( LN( HDI_Data5[[#This Row],[GNI per capita (USD)]] ) - LN(100) ) / ( LN(75000) - LN(100) )</f>
        <v>0.58429230492695328</v>
      </c>
      <c r="N121" s="23">
        <f>POWER((HDI_Data5[[#This Row],[Health Index]]*HDI_Data5[[#This Row],[Education Index]]*HDI_Data5[[#This Row],[Income Index]]), 1/3)</f>
        <v>0.59548464047510785</v>
      </c>
    </row>
    <row r="122" spans="1:14" x14ac:dyDescent="0.3">
      <c r="A122" s="15" t="s">
        <v>17</v>
      </c>
      <c r="B122" s="15">
        <v>2021</v>
      </c>
      <c r="C122" s="15" t="s">
        <v>15</v>
      </c>
      <c r="D122" s="15">
        <v>68.86</v>
      </c>
      <c r="E122" s="16">
        <v>13.06</v>
      </c>
      <c r="F122" s="16">
        <v>9.1999999999999993</v>
      </c>
      <c r="G122" s="25">
        <v>521481.47461614135</v>
      </c>
      <c r="H122" s="21">
        <f>G122/VLOOKUP(B122, exchange_rates6[], 2, FALSE)</f>
        <v>10864.197387836279</v>
      </c>
      <c r="I122" s="16">
        <f>HDI_Data5[[#This Row],[Expected Schooling ]]/18</f>
        <v>0.72555555555555562</v>
      </c>
      <c r="J122" s="16">
        <f>HDI_Data5[[#This Row],[Mean schooling ]]/15</f>
        <v>0.61333333333333329</v>
      </c>
      <c r="K122" s="22">
        <f>(HDI_Data5[[#This Row],[Life Expectancy ]]-20)/65</f>
        <v>0.75169230769230766</v>
      </c>
      <c r="L122" s="22">
        <f>(HDI_Data5[[#This Row],[EYSI]]+HDI_Data5[[#This Row],[MYSI]])/2</f>
        <v>0.66944444444444451</v>
      </c>
      <c r="M122" s="22">
        <f>( LN( HDI_Data5[[#This Row],[GNI per capita (USD)]] ) - LN(100) ) / ( LN(75000) - LN(100) )</f>
        <v>0.70815800465835732</v>
      </c>
      <c r="N122" s="23">
        <f>POWER((HDI_Data5[[#This Row],[Health Index]]*HDI_Data5[[#This Row],[Education Index]]*HDI_Data5[[#This Row],[Income Index]]), 1/3)</f>
        <v>0.70897067531682423</v>
      </c>
    </row>
    <row r="123" spans="1:14" x14ac:dyDescent="0.3">
      <c r="A123" s="15" t="s">
        <v>19</v>
      </c>
      <c r="B123" s="15">
        <v>2021</v>
      </c>
      <c r="C123" s="15" t="s">
        <v>15</v>
      </c>
      <c r="D123" s="15">
        <v>65.19</v>
      </c>
      <c r="E123" s="16">
        <v>12.51</v>
      </c>
      <c r="F123" s="16">
        <v>8.9779999999999998</v>
      </c>
      <c r="G123" s="25">
        <v>532016.09920251672</v>
      </c>
      <c r="H123" s="21">
        <f>G123/VLOOKUP(B123, exchange_rates6[], 2, FALSE)</f>
        <v>11083.668733385764</v>
      </c>
      <c r="I123" s="16">
        <f>HDI_Data5[[#This Row],[Expected Schooling ]]/18</f>
        <v>0.69499999999999995</v>
      </c>
      <c r="J123" s="16">
        <f>HDI_Data5[[#This Row],[Mean schooling ]]/15</f>
        <v>0.59853333333333336</v>
      </c>
      <c r="K123" s="22">
        <f>(HDI_Data5[[#This Row],[Life Expectancy ]]-20)/65</f>
        <v>0.69523076923076921</v>
      </c>
      <c r="L123" s="22">
        <f>(HDI_Data5[[#This Row],[EYSI]]+HDI_Data5[[#This Row],[MYSI]])/2</f>
        <v>0.64676666666666671</v>
      </c>
      <c r="M123" s="22">
        <f>( LN( HDI_Data5[[#This Row],[GNI per capita (USD)]] ) - LN(100) ) / ( LN(75000) - LN(100) )</f>
        <v>0.71117911928595245</v>
      </c>
      <c r="N123" s="23">
        <f>POWER((HDI_Data5[[#This Row],[Health Index]]*HDI_Data5[[#This Row],[Education Index]]*HDI_Data5[[#This Row],[Income Index]]), 1/3)</f>
        <v>0.68383585837227967</v>
      </c>
    </row>
    <row r="124" spans="1:14" x14ac:dyDescent="0.3">
      <c r="A124" s="15" t="s">
        <v>20</v>
      </c>
      <c r="B124" s="15">
        <v>2021</v>
      </c>
      <c r="C124" s="15" t="s">
        <v>15</v>
      </c>
      <c r="D124" s="15">
        <v>68.739999999999995</v>
      </c>
      <c r="E124" s="16">
        <v>12.81</v>
      </c>
      <c r="F124" s="16">
        <v>8.0619999999999994</v>
      </c>
      <c r="G124" s="25">
        <v>472328.04300293711</v>
      </c>
      <c r="H124" s="21">
        <f>G124/VLOOKUP(B124, exchange_rates6[], 2, FALSE)</f>
        <v>9840.1675625611897</v>
      </c>
      <c r="I124" s="16">
        <f>HDI_Data5[[#This Row],[Expected Schooling ]]/18</f>
        <v>0.71166666666666667</v>
      </c>
      <c r="J124" s="16">
        <f>HDI_Data5[[#This Row],[Mean schooling ]]/15</f>
        <v>0.53746666666666665</v>
      </c>
      <c r="K124" s="22">
        <f>(HDI_Data5[[#This Row],[Life Expectancy ]]-20)/65</f>
        <v>0.74984615384615372</v>
      </c>
      <c r="L124" s="22">
        <f>(HDI_Data5[[#This Row],[EYSI]]+HDI_Data5[[#This Row],[MYSI]])/2</f>
        <v>0.62456666666666671</v>
      </c>
      <c r="M124" s="22">
        <f>( LN( HDI_Data5[[#This Row],[GNI per capita (USD)]] ) - LN(100) ) / ( LN(75000) - LN(100) )</f>
        <v>0.69320348725176073</v>
      </c>
      <c r="N124" s="23">
        <f>POWER((HDI_Data5[[#This Row],[Health Index]]*HDI_Data5[[#This Row],[Education Index]]*HDI_Data5[[#This Row],[Income Index]]), 1/3)</f>
        <v>0.68728558685694474</v>
      </c>
    </row>
    <row r="125" spans="1:14" x14ac:dyDescent="0.3">
      <c r="A125" s="15" t="s">
        <v>21</v>
      </c>
      <c r="B125" s="15">
        <v>2021</v>
      </c>
      <c r="C125" s="15" t="s">
        <v>15</v>
      </c>
      <c r="D125" s="15">
        <v>67.45</v>
      </c>
      <c r="E125" s="16">
        <v>12.44</v>
      </c>
      <c r="F125" s="16">
        <v>9.077</v>
      </c>
      <c r="G125" s="25">
        <v>584451.47076376237</v>
      </c>
      <c r="H125" s="21">
        <f>G125/VLOOKUP(B125, exchange_rates6[], 2, FALSE)</f>
        <v>12176.072307578383</v>
      </c>
      <c r="I125" s="16">
        <f>HDI_Data5[[#This Row],[Expected Schooling ]]/18</f>
        <v>0.69111111111111112</v>
      </c>
      <c r="J125" s="16">
        <f>HDI_Data5[[#This Row],[Mean schooling ]]/15</f>
        <v>0.6051333333333333</v>
      </c>
      <c r="K125" s="22">
        <f>(HDI_Data5[[#This Row],[Life Expectancy ]]-20)/65</f>
        <v>0.73000000000000009</v>
      </c>
      <c r="L125" s="22">
        <f>(HDI_Data5[[#This Row],[EYSI]]+HDI_Data5[[#This Row],[MYSI]])/2</f>
        <v>0.64812222222222227</v>
      </c>
      <c r="M125" s="22">
        <f>( LN( HDI_Data5[[#This Row],[GNI per capita (USD)]] ) - LN(100) ) / ( LN(75000) - LN(100) )</f>
        <v>0.72537835803564987</v>
      </c>
      <c r="N125" s="23">
        <f>POWER((HDI_Data5[[#This Row],[Health Index]]*HDI_Data5[[#This Row],[Education Index]]*HDI_Data5[[#This Row],[Income Index]]), 1/3)</f>
        <v>0.70013446284576131</v>
      </c>
    </row>
    <row r="126" spans="1:14" x14ac:dyDescent="0.3">
      <c r="A126" s="15" t="s">
        <v>22</v>
      </c>
      <c r="B126" s="15">
        <v>2021</v>
      </c>
      <c r="C126" s="15" t="s">
        <v>15</v>
      </c>
      <c r="D126" s="15">
        <v>67.03</v>
      </c>
      <c r="E126" s="16">
        <v>12.37</v>
      </c>
      <c r="F126" s="16">
        <v>9.3409999999999993</v>
      </c>
      <c r="G126" s="25">
        <v>584451.47076376237</v>
      </c>
      <c r="H126" s="21">
        <f>G126/VLOOKUP(B126, exchange_rates6[], 2, FALSE)</f>
        <v>12176.072307578383</v>
      </c>
      <c r="I126" s="16">
        <f>HDI_Data5[[#This Row],[Expected Schooling ]]/18</f>
        <v>0.68722222222222218</v>
      </c>
      <c r="J126" s="16">
        <f>HDI_Data5[[#This Row],[Mean schooling ]]/15</f>
        <v>0.62273333333333325</v>
      </c>
      <c r="K126" s="22">
        <f>(HDI_Data5[[#This Row],[Life Expectancy ]]-20)/65</f>
        <v>0.72353846153846157</v>
      </c>
      <c r="L126" s="22">
        <f>(HDI_Data5[[#This Row],[EYSI]]+HDI_Data5[[#This Row],[MYSI]])/2</f>
        <v>0.65497777777777766</v>
      </c>
      <c r="M126" s="22">
        <f>( LN( HDI_Data5[[#This Row],[GNI per capita (USD)]] ) - LN(100) ) / ( LN(75000) - LN(100) )</f>
        <v>0.72537835803564987</v>
      </c>
      <c r="N126" s="23">
        <f>POWER((HDI_Data5[[#This Row],[Health Index]]*HDI_Data5[[#This Row],[Education Index]]*HDI_Data5[[#This Row],[Income Index]]), 1/3)</f>
        <v>0.70051524948918775</v>
      </c>
    </row>
    <row r="127" spans="1:14" x14ac:dyDescent="0.3">
      <c r="A127" s="15" t="s">
        <v>23</v>
      </c>
      <c r="B127" s="15">
        <v>2021</v>
      </c>
      <c r="C127" s="15" t="s">
        <v>15</v>
      </c>
      <c r="D127" s="15">
        <v>66.569999999999993</v>
      </c>
      <c r="E127" s="16">
        <v>12.82</v>
      </c>
      <c r="F127" s="16">
        <v>7.8280000000000003</v>
      </c>
      <c r="G127" s="25">
        <v>398885.23763488262</v>
      </c>
      <c r="H127" s="21">
        <f>G127/VLOOKUP(B127, exchange_rates6[], 2, FALSE)</f>
        <v>8310.1091173933874</v>
      </c>
      <c r="I127" s="16">
        <f>HDI_Data5[[#This Row],[Expected Schooling ]]/18</f>
        <v>0.7122222222222222</v>
      </c>
      <c r="J127" s="16">
        <f>HDI_Data5[[#This Row],[Mean schooling ]]/15</f>
        <v>0.5218666666666667</v>
      </c>
      <c r="K127" s="22">
        <f>(HDI_Data5[[#This Row],[Life Expectancy ]]-20)/65</f>
        <v>0.71646153846153837</v>
      </c>
      <c r="L127" s="22">
        <f>(HDI_Data5[[#This Row],[EYSI]]+HDI_Data5[[#This Row],[MYSI]])/2</f>
        <v>0.61704444444444451</v>
      </c>
      <c r="M127" s="22">
        <f>( LN( HDI_Data5[[#This Row],[GNI per capita (USD)]] ) - LN(100) ) / ( LN(75000) - LN(100) )</f>
        <v>0.66767506864858139</v>
      </c>
      <c r="N127" s="23">
        <f>POWER((HDI_Data5[[#This Row],[Health Index]]*HDI_Data5[[#This Row],[Education Index]]*HDI_Data5[[#This Row],[Income Index]]), 1/3)</f>
        <v>0.66582203304470866</v>
      </c>
    </row>
    <row r="128" spans="1:14" x14ac:dyDescent="0.3">
      <c r="A128" s="15" t="s">
        <v>24</v>
      </c>
      <c r="B128" s="15">
        <v>2021</v>
      </c>
      <c r="C128" s="15" t="s">
        <v>15</v>
      </c>
      <c r="D128" s="15">
        <v>65.92</v>
      </c>
      <c r="E128" s="16">
        <v>12.51</v>
      </c>
      <c r="F128" s="16">
        <v>7.2709999999999999</v>
      </c>
      <c r="G128" s="25">
        <v>377161.60291272192</v>
      </c>
      <c r="H128" s="21">
        <f>G128/VLOOKUP(B128, exchange_rates6[], 2, FALSE)</f>
        <v>7857.5333940150404</v>
      </c>
      <c r="I128" s="16">
        <f>HDI_Data5[[#This Row],[Expected Schooling ]]/18</f>
        <v>0.69499999999999995</v>
      </c>
      <c r="J128" s="16">
        <f>HDI_Data5[[#This Row],[Mean schooling ]]/15</f>
        <v>0.48473333333333335</v>
      </c>
      <c r="K128" s="22">
        <f>(HDI_Data5[[#This Row],[Life Expectancy ]]-20)/65</f>
        <v>0.70646153846153847</v>
      </c>
      <c r="L128" s="22">
        <f>(HDI_Data5[[#This Row],[EYSI]]+HDI_Data5[[#This Row],[MYSI]])/2</f>
        <v>0.58986666666666665</v>
      </c>
      <c r="M128" s="22">
        <f>( LN( HDI_Data5[[#This Row],[GNI per capita (USD)]] ) - LN(100) ) / ( LN(75000) - LN(100) )</f>
        <v>0.65921594769131464</v>
      </c>
      <c r="N128" s="23">
        <f>POWER((HDI_Data5[[#This Row],[Health Index]]*HDI_Data5[[#This Row],[Education Index]]*HDI_Data5[[#This Row],[Income Index]]), 1/3)</f>
        <v>0.65006486584462397</v>
      </c>
    </row>
    <row r="129" spans="1:14" x14ac:dyDescent="0.3">
      <c r="A129" s="15" t="s">
        <v>18</v>
      </c>
      <c r="B129" s="15">
        <v>2021</v>
      </c>
      <c r="C129" s="15" t="s">
        <v>15</v>
      </c>
      <c r="D129" s="15">
        <v>69.260000000000005</v>
      </c>
      <c r="E129" s="16">
        <v>12.48</v>
      </c>
      <c r="F129" s="16">
        <v>10.210000000000001</v>
      </c>
      <c r="G129" s="25">
        <v>601047.37028720812</v>
      </c>
      <c r="H129" s="21">
        <f>G129/VLOOKUP(B129, exchange_rates6[], 2, FALSE)</f>
        <v>12521.820214316836</v>
      </c>
      <c r="I129" s="16">
        <f>HDI_Data5[[#This Row],[Expected Schooling ]]/18</f>
        <v>0.69333333333333336</v>
      </c>
      <c r="J129" s="16">
        <f>HDI_Data5[[#This Row],[Mean schooling ]]/15</f>
        <v>0.68066666666666675</v>
      </c>
      <c r="K129" s="22">
        <f>(HDI_Data5[[#This Row],[Life Expectancy ]]-20)/65</f>
        <v>0.75784615384615395</v>
      </c>
      <c r="L129" s="22">
        <f>(HDI_Data5[[#This Row],[EYSI]]+HDI_Data5[[#This Row],[MYSI]])/2</f>
        <v>0.68700000000000006</v>
      </c>
      <c r="M129" s="22">
        <f>( LN( HDI_Data5[[#This Row],[GNI per capita (USD)]] ) - LN(100) ) / ( LN(75000) - LN(100) )</f>
        <v>0.72960791851428319</v>
      </c>
      <c r="N129" s="23">
        <f>POWER((HDI_Data5[[#This Row],[Health Index]]*HDI_Data5[[#This Row],[Education Index]]*HDI_Data5[[#This Row],[Income Index]]), 1/3)</f>
        <v>0.7242287739874369</v>
      </c>
    </row>
    <row r="130" spans="1:14" x14ac:dyDescent="0.3">
      <c r="A130" s="15" t="s">
        <v>25</v>
      </c>
      <c r="B130" s="15">
        <v>2021</v>
      </c>
      <c r="C130" s="15" t="s">
        <v>15</v>
      </c>
      <c r="D130" s="15">
        <v>66.569999999999993</v>
      </c>
      <c r="E130" s="16">
        <v>11.49</v>
      </c>
      <c r="F130" s="16">
        <v>7.9189999999999996</v>
      </c>
      <c r="G130" s="25">
        <v>406943.25395199796</v>
      </c>
      <c r="H130" s="21">
        <f>G130/VLOOKUP(B130, exchange_rates6[], 2, FALSE)</f>
        <v>8477.9844573332903</v>
      </c>
      <c r="I130" s="16">
        <f>HDI_Data5[[#This Row],[Expected Schooling ]]/18</f>
        <v>0.63833333333333331</v>
      </c>
      <c r="J130" s="16">
        <f>HDI_Data5[[#This Row],[Mean schooling ]]/15</f>
        <v>0.52793333333333325</v>
      </c>
      <c r="K130" s="22">
        <f>(HDI_Data5[[#This Row],[Life Expectancy ]]-20)/65</f>
        <v>0.71646153846153837</v>
      </c>
      <c r="L130" s="22">
        <f>(HDI_Data5[[#This Row],[EYSI]]+HDI_Data5[[#This Row],[MYSI]])/2</f>
        <v>0.58313333333333328</v>
      </c>
      <c r="M130" s="22">
        <f>( LN( HDI_Data5[[#This Row],[GNI per capita (USD)]] ) - LN(100) ) / ( LN(75000) - LN(100) )</f>
        <v>0.67069618327617653</v>
      </c>
      <c r="N130" s="23">
        <f>POWER((HDI_Data5[[#This Row],[Health Index]]*HDI_Data5[[#This Row],[Education Index]]*HDI_Data5[[#This Row],[Income Index]]), 1/3)</f>
        <v>0.65437825791357085</v>
      </c>
    </row>
    <row r="131" spans="1:14" x14ac:dyDescent="0.3">
      <c r="A131" s="15" t="s">
        <v>26</v>
      </c>
      <c r="B131" s="15">
        <v>2021</v>
      </c>
      <c r="C131" s="15" t="s">
        <v>15</v>
      </c>
      <c r="D131" s="15">
        <v>66.84</v>
      </c>
      <c r="E131" s="16">
        <v>12.84</v>
      </c>
      <c r="F131" s="16">
        <v>8.7319999999999993</v>
      </c>
      <c r="G131" s="25">
        <v>433405.48750299914</v>
      </c>
      <c r="H131" s="21">
        <f>G131/VLOOKUP(B131, exchange_rates6[], 2, FALSE)</f>
        <v>9029.2809896458148</v>
      </c>
      <c r="I131" s="16">
        <f>HDI_Data5[[#This Row],[Expected Schooling ]]/18</f>
        <v>0.71333333333333337</v>
      </c>
      <c r="J131" s="16">
        <f>HDI_Data5[[#This Row],[Mean schooling ]]/15</f>
        <v>0.58213333333333328</v>
      </c>
      <c r="K131" s="22">
        <f>(HDI_Data5[[#This Row],[Life Expectancy ]]-20)/65</f>
        <v>0.72061538461538466</v>
      </c>
      <c r="L131" s="22">
        <f>(HDI_Data5[[#This Row],[EYSI]]+HDI_Data5[[#This Row],[MYSI]])/2</f>
        <v>0.64773333333333327</v>
      </c>
      <c r="M131" s="22">
        <f>( LN( HDI_Data5[[#This Row],[GNI per capita (USD)]] ) - LN(100) ) / ( LN(75000) - LN(100) )</f>
        <v>0.6802126943531015</v>
      </c>
      <c r="N131" s="23">
        <f>POWER((HDI_Data5[[#This Row],[Health Index]]*HDI_Data5[[#This Row],[Education Index]]*HDI_Data5[[#This Row],[Income Index]]), 1/3)</f>
        <v>0.68220490320698013</v>
      </c>
    </row>
    <row r="132" spans="1:14" x14ac:dyDescent="0.3">
      <c r="A132" s="15" t="s">
        <v>27</v>
      </c>
      <c r="B132" s="15">
        <v>2021</v>
      </c>
      <c r="C132" s="15" t="s">
        <v>15</v>
      </c>
      <c r="D132" s="15">
        <v>66.7</v>
      </c>
      <c r="E132" s="16">
        <v>12.55</v>
      </c>
      <c r="F132" s="16">
        <v>8.1440000000000001</v>
      </c>
      <c r="G132" s="25">
        <v>427380.08689675538</v>
      </c>
      <c r="H132" s="21">
        <f>G132/VLOOKUP(B132, exchange_rates6[], 2, FALSE)</f>
        <v>8903.7518103490711</v>
      </c>
      <c r="I132" s="16">
        <f>HDI_Data5[[#This Row],[Expected Schooling ]]/18</f>
        <v>0.6972222222222223</v>
      </c>
      <c r="J132" s="16">
        <f>HDI_Data5[[#This Row],[Mean schooling ]]/15</f>
        <v>0.54293333333333338</v>
      </c>
      <c r="K132" s="22">
        <f>(HDI_Data5[[#This Row],[Life Expectancy ]]-20)/65</f>
        <v>0.71846153846153848</v>
      </c>
      <c r="L132" s="22">
        <f>(HDI_Data5[[#This Row],[EYSI]]+HDI_Data5[[#This Row],[MYSI]])/2</f>
        <v>0.62007777777777784</v>
      </c>
      <c r="M132" s="22">
        <f>( LN( HDI_Data5[[#This Row],[GNI per capita (USD)]] ) - LN(100) ) / ( LN(75000) - LN(100) )</f>
        <v>0.67809791411378473</v>
      </c>
      <c r="N132" s="23">
        <f>POWER((HDI_Data5[[#This Row],[Health Index]]*HDI_Data5[[#This Row],[Education Index]]*HDI_Data5[[#This Row],[Income Index]]), 1/3)</f>
        <v>0.67098688759297853</v>
      </c>
    </row>
    <row r="133" spans="1:14" x14ac:dyDescent="0.3">
      <c r="A133" s="15" t="s">
        <v>28</v>
      </c>
      <c r="B133" s="15">
        <v>2021</v>
      </c>
      <c r="C133" s="15" t="s">
        <v>15</v>
      </c>
      <c r="D133" s="15">
        <v>66.55</v>
      </c>
      <c r="E133" s="16">
        <v>12.65</v>
      </c>
      <c r="F133" s="16">
        <v>7.9359999999999999</v>
      </c>
      <c r="G133" s="25">
        <v>415995.21198460518</v>
      </c>
      <c r="H133" s="21">
        <f>G133/VLOOKUP(B133, exchange_rates6[], 2, FALSE)</f>
        <v>8666.5669163459406</v>
      </c>
      <c r="I133" s="16">
        <f>HDI_Data5[[#This Row],[Expected Schooling ]]/18</f>
        <v>0.70277777777777783</v>
      </c>
      <c r="J133" s="16">
        <f>HDI_Data5[[#This Row],[Mean schooling ]]/15</f>
        <v>0.52906666666666669</v>
      </c>
      <c r="K133" s="22">
        <f>(HDI_Data5[[#This Row],[Life Expectancy ]]-20)/65</f>
        <v>0.71615384615384614</v>
      </c>
      <c r="L133" s="22">
        <f>(HDI_Data5[[#This Row],[EYSI]]+HDI_Data5[[#This Row],[MYSI]])/2</f>
        <v>0.61592222222222226</v>
      </c>
      <c r="M133" s="22">
        <f>( LN( HDI_Data5[[#This Row],[GNI per capita (USD)]] ) - LN(100) ) / ( LN(75000) - LN(100) )</f>
        <v>0.67401940936653126</v>
      </c>
      <c r="N133" s="23">
        <f>POWER((HDI_Data5[[#This Row],[Health Index]]*HDI_Data5[[#This Row],[Education Index]]*HDI_Data5[[#This Row],[Income Index]]), 1/3)</f>
        <v>0.66742356287741444</v>
      </c>
    </row>
    <row r="134" spans="1:14" x14ac:dyDescent="0.3">
      <c r="A134" s="15" t="s">
        <v>29</v>
      </c>
      <c r="B134" s="15">
        <v>2021</v>
      </c>
      <c r="C134" s="15" t="s">
        <v>15</v>
      </c>
      <c r="D134" s="15">
        <v>67.55</v>
      </c>
      <c r="E134" s="16">
        <v>12.48</v>
      </c>
      <c r="F134" s="16">
        <v>8.1780000000000008</v>
      </c>
      <c r="G134" s="25">
        <v>474221.1388425015</v>
      </c>
      <c r="H134" s="21">
        <f>G134/VLOOKUP(B134, exchange_rates6[], 2, FALSE)</f>
        <v>9879.6070592187807</v>
      </c>
      <c r="I134" s="16">
        <f>HDI_Data5[[#This Row],[Expected Schooling ]]/18</f>
        <v>0.69333333333333336</v>
      </c>
      <c r="J134" s="16">
        <f>HDI_Data5[[#This Row],[Mean schooling ]]/15</f>
        <v>0.54520000000000002</v>
      </c>
      <c r="K134" s="22">
        <f>(HDI_Data5[[#This Row],[Life Expectancy ]]-20)/65</f>
        <v>0.73153846153846147</v>
      </c>
      <c r="L134" s="22">
        <f>(HDI_Data5[[#This Row],[EYSI]]+HDI_Data5[[#This Row],[MYSI]])/2</f>
        <v>0.61926666666666663</v>
      </c>
      <c r="M134" s="22">
        <f>( LN( HDI_Data5[[#This Row],[GNI per capita (USD)]] ) - LN(100) ) / ( LN(75000) - LN(100) )</f>
        <v>0.69380771017727993</v>
      </c>
      <c r="N134" s="23">
        <f>POWER((HDI_Data5[[#This Row],[Health Index]]*HDI_Data5[[#This Row],[Education Index]]*HDI_Data5[[#This Row],[Income Index]]), 1/3)</f>
        <v>0.67990984552368838</v>
      </c>
    </row>
    <row r="135" spans="1:14" x14ac:dyDescent="0.3">
      <c r="A135" s="15" t="s">
        <v>30</v>
      </c>
      <c r="B135" s="15">
        <v>2021</v>
      </c>
      <c r="C135" s="15" t="s">
        <v>15</v>
      </c>
      <c r="D135" s="15">
        <v>68.459999999999994</v>
      </c>
      <c r="E135" s="16">
        <v>12.43</v>
      </c>
      <c r="F135" s="16">
        <v>8.1379999999999999</v>
      </c>
      <c r="G135" s="25">
        <v>437761.2850675995</v>
      </c>
      <c r="H135" s="21">
        <f>G135/VLOOKUP(B135, exchange_rates6[], 2, FALSE)</f>
        <v>9120.0267722416556</v>
      </c>
      <c r="I135" s="16">
        <f>HDI_Data5[[#This Row],[Expected Schooling ]]/18</f>
        <v>0.69055555555555559</v>
      </c>
      <c r="J135" s="16">
        <f>HDI_Data5[[#This Row],[Mean schooling ]]/15</f>
        <v>0.54253333333333331</v>
      </c>
      <c r="K135" s="22">
        <f>(HDI_Data5[[#This Row],[Life Expectancy ]]-20)/65</f>
        <v>0.74553846153846148</v>
      </c>
      <c r="L135" s="22">
        <f>(HDI_Data5[[#This Row],[EYSI]]+HDI_Data5[[#This Row],[MYSI]])/2</f>
        <v>0.61654444444444445</v>
      </c>
      <c r="M135" s="22">
        <f>( LN( HDI_Data5[[#This Row],[GNI per capita (USD)]] ) - LN(100) ) / ( LN(75000) - LN(100) )</f>
        <v>0.68172325166689907</v>
      </c>
      <c r="N135" s="23">
        <f>POWER((HDI_Data5[[#This Row],[Health Index]]*HDI_Data5[[#This Row],[Education Index]]*HDI_Data5[[#This Row],[Income Index]]), 1/3)</f>
        <v>0.67922581398226978</v>
      </c>
    </row>
    <row r="136" spans="1:14" x14ac:dyDescent="0.3">
      <c r="A136" s="15" t="s">
        <v>31</v>
      </c>
      <c r="B136" s="15">
        <v>2021</v>
      </c>
      <c r="C136" s="15" t="s">
        <v>15</v>
      </c>
      <c r="D136" s="15">
        <v>65.819999999999993</v>
      </c>
      <c r="E136" s="16">
        <v>12.09</v>
      </c>
      <c r="F136" s="16">
        <v>7.7130000000000001</v>
      </c>
      <c r="G136" s="25">
        <v>389815.57807155937</v>
      </c>
      <c r="H136" s="21">
        <f>G136/VLOOKUP(B136, exchange_rates6[], 2, FALSE)</f>
        <v>8121.1578764908199</v>
      </c>
      <c r="I136" s="16">
        <f>HDI_Data5[[#This Row],[Expected Schooling ]]/18</f>
        <v>0.67166666666666663</v>
      </c>
      <c r="J136" s="16">
        <f>HDI_Data5[[#This Row],[Mean schooling ]]/15</f>
        <v>0.51419999999999999</v>
      </c>
      <c r="K136" s="22">
        <f>(HDI_Data5[[#This Row],[Life Expectancy ]]-20)/65</f>
        <v>0.70492307692307676</v>
      </c>
      <c r="L136" s="22">
        <f>(HDI_Data5[[#This Row],[EYSI]]+HDI_Data5[[#This Row],[MYSI]])/2</f>
        <v>0.59293333333333331</v>
      </c>
      <c r="M136" s="22">
        <f>( LN( HDI_Data5[[#This Row],[GNI per capita (USD)]] ) - LN(100) ) / ( LN(75000) - LN(100) )</f>
        <v>0.66420078682684691</v>
      </c>
      <c r="N136" s="23">
        <f>POWER((HDI_Data5[[#This Row],[Health Index]]*HDI_Data5[[#This Row],[Education Index]]*HDI_Data5[[#This Row],[Income Index]]), 1/3)</f>
        <v>0.65235249339743662</v>
      </c>
    </row>
    <row r="137" spans="1:14" x14ac:dyDescent="0.3">
      <c r="A137" s="15" t="s">
        <v>32</v>
      </c>
      <c r="B137" s="15">
        <v>2021</v>
      </c>
      <c r="C137" s="15" t="s">
        <v>15</v>
      </c>
      <c r="D137" s="15">
        <v>68.180000000000007</v>
      </c>
      <c r="E137" s="16">
        <v>12.56</v>
      </c>
      <c r="F137" s="16">
        <v>8.0020000000000007</v>
      </c>
      <c r="G137" s="25">
        <v>450642.23335762566</v>
      </c>
      <c r="H137" s="21">
        <f>G137/VLOOKUP(B137, exchange_rates6[], 2, FALSE)</f>
        <v>9388.3798616172007</v>
      </c>
      <c r="I137" s="16">
        <f>HDI_Data5[[#This Row],[Expected Schooling ]]/18</f>
        <v>0.69777777777777783</v>
      </c>
      <c r="J137" s="16">
        <f>HDI_Data5[[#This Row],[Mean schooling ]]/15</f>
        <v>0.53346666666666676</v>
      </c>
      <c r="K137" s="22">
        <f>(HDI_Data5[[#This Row],[Life Expectancy ]]-20)/65</f>
        <v>0.74123076923076936</v>
      </c>
      <c r="L137" s="22">
        <f>(HDI_Data5[[#This Row],[EYSI]]+HDI_Data5[[#This Row],[MYSI]])/2</f>
        <v>0.61562222222222229</v>
      </c>
      <c r="M137" s="22">
        <f>( LN( HDI_Data5[[#This Row],[GNI per capita (USD)]] ) - LN(100) ) / ( LN(75000) - LN(100) )</f>
        <v>0.68610386787691213</v>
      </c>
      <c r="N137" s="23">
        <f>POWER((HDI_Data5[[#This Row],[Health Index]]*HDI_Data5[[#This Row],[Education Index]]*HDI_Data5[[#This Row],[Income Index]]), 1/3)</f>
        <v>0.67902515754067838</v>
      </c>
    </row>
    <row r="138" spans="1:14" x14ac:dyDescent="0.3">
      <c r="A138" s="15" t="s">
        <v>16</v>
      </c>
      <c r="B138" s="15">
        <v>2022</v>
      </c>
      <c r="C138" s="15" t="s">
        <v>14</v>
      </c>
      <c r="D138" s="15">
        <v>73.17</v>
      </c>
      <c r="E138" s="16">
        <v>12.56</v>
      </c>
      <c r="F138" s="16">
        <v>6.9290000000000003</v>
      </c>
      <c r="G138" s="25">
        <v>172766.36705170668</v>
      </c>
      <c r="H138" s="21">
        <f>G138/VLOOKUP(B138, exchange_rates6[], 2, FALSE)</f>
        <v>3171.1888225349981</v>
      </c>
      <c r="I138" s="16">
        <f>HDI_Data5[[#This Row],[Expected Schooling ]]/18</f>
        <v>0.69777777777777783</v>
      </c>
      <c r="J138" s="16">
        <f>HDI_Data5[[#This Row],[Mean schooling ]]/15</f>
        <v>0.46193333333333336</v>
      </c>
      <c r="K138" s="22">
        <f>(HDI_Data5[[#This Row],[Life Expectancy ]]-20)/65</f>
        <v>0.81800000000000006</v>
      </c>
      <c r="L138" s="22">
        <f>(HDI_Data5[[#This Row],[EYSI]]+HDI_Data5[[#This Row],[MYSI]])/2</f>
        <v>0.57985555555555557</v>
      </c>
      <c r="M138" s="22">
        <f>( LN( HDI_Data5[[#This Row],[GNI per capita (USD)]] ) - LN(100) ) / ( LN(75000) - LN(100) )</f>
        <v>0.52215308284681639</v>
      </c>
      <c r="N138" s="23">
        <f>POWER((HDI_Data5[[#This Row],[Health Index]]*HDI_Data5[[#This Row],[Education Index]]*HDI_Data5[[#This Row],[Income Index]]), 1/3)</f>
        <v>0.62799616389993052</v>
      </c>
    </row>
    <row r="139" spans="1:14" x14ac:dyDescent="0.3">
      <c r="A139" s="15" t="s">
        <v>17</v>
      </c>
      <c r="B139" s="15">
        <v>2022</v>
      </c>
      <c r="C139" s="15" t="s">
        <v>14</v>
      </c>
      <c r="D139" s="15">
        <v>76.099999999999994</v>
      </c>
      <c r="E139" s="16">
        <v>13.8</v>
      </c>
      <c r="F139" s="16">
        <v>10.31</v>
      </c>
      <c r="G139" s="25">
        <v>369052.97680347349</v>
      </c>
      <c r="H139" s="21">
        <f>G139/VLOOKUP(B139, exchange_rates6[], 2, FALSE)</f>
        <v>6774.1001615909236</v>
      </c>
      <c r="I139" s="16">
        <f>HDI_Data5[[#This Row],[Expected Schooling ]]/18</f>
        <v>0.76666666666666672</v>
      </c>
      <c r="J139" s="16">
        <f>HDI_Data5[[#This Row],[Mean schooling ]]/15</f>
        <v>0.68733333333333335</v>
      </c>
      <c r="K139" s="22">
        <f>(HDI_Data5[[#This Row],[Life Expectancy ]]-20)/65</f>
        <v>0.86307692307692296</v>
      </c>
      <c r="L139" s="22">
        <f>(HDI_Data5[[#This Row],[EYSI]]+HDI_Data5[[#This Row],[MYSI]])/2</f>
        <v>0.72700000000000009</v>
      </c>
      <c r="M139" s="22">
        <f>( LN( HDI_Data5[[#This Row],[GNI per capita (USD)]] ) - LN(100) ) / ( LN(75000) - LN(100) )</f>
        <v>0.63680438296405473</v>
      </c>
      <c r="N139" s="23">
        <f>POWER((HDI_Data5[[#This Row],[Health Index]]*HDI_Data5[[#This Row],[Education Index]]*HDI_Data5[[#This Row],[Income Index]]), 1/3)</f>
        <v>0.73654053531170816</v>
      </c>
    </row>
    <row r="140" spans="1:14" x14ac:dyDescent="0.3">
      <c r="A140" s="15" t="s">
        <v>19</v>
      </c>
      <c r="B140" s="15">
        <v>2022</v>
      </c>
      <c r="C140" s="15" t="s">
        <v>14</v>
      </c>
      <c r="D140" s="15">
        <v>71.040000000000006</v>
      </c>
      <c r="E140" s="16">
        <v>13.53</v>
      </c>
      <c r="F140" s="16">
        <v>9.6940000000000008</v>
      </c>
      <c r="G140" s="25">
        <v>372389.44518127316</v>
      </c>
      <c r="H140" s="21">
        <f>G140/VLOOKUP(B140, exchange_rates6[], 2, FALSE)</f>
        <v>6835.3422390101541</v>
      </c>
      <c r="I140" s="16">
        <f>HDI_Data5[[#This Row],[Expected Schooling ]]/18</f>
        <v>0.75166666666666659</v>
      </c>
      <c r="J140" s="16">
        <f>HDI_Data5[[#This Row],[Mean schooling ]]/15</f>
        <v>0.64626666666666677</v>
      </c>
      <c r="K140" s="22">
        <f>(HDI_Data5[[#This Row],[Life Expectancy ]]-20)/65</f>
        <v>0.78523076923076929</v>
      </c>
      <c r="L140" s="22">
        <f>(HDI_Data5[[#This Row],[EYSI]]+HDI_Data5[[#This Row],[MYSI]])/2</f>
        <v>0.69896666666666674</v>
      </c>
      <c r="M140" s="22">
        <f>( LN( HDI_Data5[[#This Row],[GNI per capita (USD)]] ) - LN(100) ) / ( LN(75000) - LN(100) )</f>
        <v>0.63816388454647233</v>
      </c>
      <c r="N140" s="23">
        <f>POWER((HDI_Data5[[#This Row],[Health Index]]*HDI_Data5[[#This Row],[Education Index]]*HDI_Data5[[#This Row],[Income Index]]), 1/3)</f>
        <v>0.70490187465978738</v>
      </c>
    </row>
    <row r="141" spans="1:14" x14ac:dyDescent="0.3">
      <c r="A141" s="15" t="s">
        <v>20</v>
      </c>
      <c r="B141" s="15">
        <v>2022</v>
      </c>
      <c r="C141" s="15" t="s">
        <v>14</v>
      </c>
      <c r="D141" s="15">
        <v>76.53</v>
      </c>
      <c r="E141" s="16">
        <v>13.76</v>
      </c>
      <c r="F141" s="16">
        <v>8.7040000000000006</v>
      </c>
      <c r="G141" s="25">
        <v>340678.83556993428</v>
      </c>
      <c r="H141" s="21">
        <f>G141/VLOOKUP(B141, exchange_rates6[], 2, FALSE)</f>
        <v>6253.2825912249318</v>
      </c>
      <c r="I141" s="16">
        <f>HDI_Data5[[#This Row],[Expected Schooling ]]/18</f>
        <v>0.76444444444444448</v>
      </c>
      <c r="J141" s="16">
        <f>HDI_Data5[[#This Row],[Mean schooling ]]/15</f>
        <v>0.58026666666666671</v>
      </c>
      <c r="K141" s="22">
        <f>(HDI_Data5[[#This Row],[Life Expectancy ]]-20)/65</f>
        <v>0.86969230769230776</v>
      </c>
      <c r="L141" s="22">
        <f>(HDI_Data5[[#This Row],[EYSI]]+HDI_Data5[[#This Row],[MYSI]])/2</f>
        <v>0.6723555555555556</v>
      </c>
      <c r="M141" s="22">
        <f>( LN( HDI_Data5[[#This Row],[GNI per capita (USD)]] ) - LN(100) ) / ( LN(75000) - LN(100) )</f>
        <v>0.62471992445367364</v>
      </c>
      <c r="N141" s="23">
        <f>POWER((HDI_Data5[[#This Row],[Health Index]]*HDI_Data5[[#This Row],[Education Index]]*HDI_Data5[[#This Row],[Income Index]]), 1/3)</f>
        <v>0.71485286367153489</v>
      </c>
    </row>
    <row r="142" spans="1:14" x14ac:dyDescent="0.3">
      <c r="A142" s="15" t="s">
        <v>21</v>
      </c>
      <c r="B142" s="15">
        <v>2022</v>
      </c>
      <c r="C142" s="15" t="s">
        <v>14</v>
      </c>
      <c r="D142" s="15">
        <v>74.19</v>
      </c>
      <c r="E142" s="16">
        <v>13.26</v>
      </c>
      <c r="F142" s="16">
        <v>9.4359999999999999</v>
      </c>
      <c r="G142" s="25">
        <v>403808.27654321614</v>
      </c>
      <c r="H142" s="21">
        <f>G142/VLOOKUP(B142, exchange_rates6[], 2, FALSE)</f>
        <v>7412.0461920560965</v>
      </c>
      <c r="I142" s="16">
        <f>HDI_Data5[[#This Row],[Expected Schooling ]]/18</f>
        <v>0.73666666666666669</v>
      </c>
      <c r="J142" s="16">
        <f>HDI_Data5[[#This Row],[Mean schooling ]]/15</f>
        <v>0.62906666666666666</v>
      </c>
      <c r="K142" s="22">
        <f>(HDI_Data5[[#This Row],[Life Expectancy ]]-20)/65</f>
        <v>0.83369230769230762</v>
      </c>
      <c r="L142" s="22">
        <f>(HDI_Data5[[#This Row],[EYSI]]+HDI_Data5[[#This Row],[MYSI]])/2</f>
        <v>0.68286666666666673</v>
      </c>
      <c r="M142" s="22">
        <f>( LN( HDI_Data5[[#This Row],[GNI per capita (USD)]] ) - LN(100) ) / ( LN(75000) - LN(100) )</f>
        <v>0.65039939878823294</v>
      </c>
      <c r="N142" s="23">
        <f>POWER((HDI_Data5[[#This Row],[Health Index]]*HDI_Data5[[#This Row],[Education Index]]*HDI_Data5[[#This Row],[Income Index]]), 1/3)</f>
        <v>0.71808184439013523</v>
      </c>
    </row>
    <row r="143" spans="1:14" x14ac:dyDescent="0.3">
      <c r="A143" s="15" t="s">
        <v>22</v>
      </c>
      <c r="B143" s="15">
        <v>2022</v>
      </c>
      <c r="C143" s="15" t="s">
        <v>14</v>
      </c>
      <c r="D143" s="15">
        <v>73.62</v>
      </c>
      <c r="E143" s="16">
        <v>13.29</v>
      </c>
      <c r="F143" s="16">
        <v>9.65</v>
      </c>
      <c r="G143" s="25">
        <v>400190.30733701412</v>
      </c>
      <c r="H143" s="21">
        <f>G143/VLOOKUP(B143, exchange_rates6[], 2, FALSE)</f>
        <v>7345.6370656573818</v>
      </c>
      <c r="I143" s="16">
        <f>HDI_Data5[[#This Row],[Expected Schooling ]]/18</f>
        <v>0.73833333333333329</v>
      </c>
      <c r="J143" s="16">
        <f>HDI_Data5[[#This Row],[Mean schooling ]]/15</f>
        <v>0.64333333333333331</v>
      </c>
      <c r="K143" s="22">
        <f>(HDI_Data5[[#This Row],[Life Expectancy ]]-20)/65</f>
        <v>0.82492307692307698</v>
      </c>
      <c r="L143" s="22">
        <f>(HDI_Data5[[#This Row],[EYSI]]+HDI_Data5[[#This Row],[MYSI]])/2</f>
        <v>0.6908333333333333</v>
      </c>
      <c r="M143" s="22">
        <f>( LN( HDI_Data5[[#This Row],[GNI per capita (USD)]] ) - LN(100) ) / ( LN(75000) - LN(100) )</f>
        <v>0.64903989720581501</v>
      </c>
      <c r="N143" s="23">
        <f>POWER((HDI_Data5[[#This Row],[Health Index]]*HDI_Data5[[#This Row],[Education Index]]*HDI_Data5[[#This Row],[Income Index]]), 1/3)</f>
        <v>0.7178263183330984</v>
      </c>
    </row>
    <row r="144" spans="1:14" x14ac:dyDescent="0.3">
      <c r="A144" s="15" t="s">
        <v>23</v>
      </c>
      <c r="B144" s="15">
        <v>2022</v>
      </c>
      <c r="C144" s="15" t="s">
        <v>14</v>
      </c>
      <c r="D144" s="15">
        <v>73.42</v>
      </c>
      <c r="E144" s="16">
        <v>13.46</v>
      </c>
      <c r="F144" s="16">
        <v>8.7129999999999992</v>
      </c>
      <c r="G144" s="25">
        <v>288282.29825008428</v>
      </c>
      <c r="H144" s="21">
        <f>G144/VLOOKUP(B144, exchange_rates6[], 2, FALSE)</f>
        <v>5291.5252982761431</v>
      </c>
      <c r="I144" s="16">
        <f>HDI_Data5[[#This Row],[Expected Schooling ]]/18</f>
        <v>0.74777777777777787</v>
      </c>
      <c r="J144" s="16">
        <f>HDI_Data5[[#This Row],[Mean schooling ]]/15</f>
        <v>0.58086666666666664</v>
      </c>
      <c r="K144" s="22">
        <f>(HDI_Data5[[#This Row],[Life Expectancy ]]-20)/65</f>
        <v>0.82184615384615389</v>
      </c>
      <c r="L144" s="22">
        <f>(HDI_Data5[[#This Row],[EYSI]]+HDI_Data5[[#This Row],[MYSI]])/2</f>
        <v>0.66432222222222226</v>
      </c>
      <c r="M144" s="22">
        <f>( LN( HDI_Data5[[#This Row],[GNI per capita (USD)]] ) - LN(100) ) / ( LN(75000) - LN(100) )</f>
        <v>0.59949361731325357</v>
      </c>
      <c r="N144" s="23">
        <f>POWER((HDI_Data5[[#This Row],[Health Index]]*HDI_Data5[[#This Row],[Education Index]]*HDI_Data5[[#This Row],[Income Index]]), 1/3)</f>
        <v>0.68915665912192126</v>
      </c>
    </row>
    <row r="145" spans="1:14" x14ac:dyDescent="0.3">
      <c r="A145" s="15" t="s">
        <v>24</v>
      </c>
      <c r="B145" s="15">
        <v>2022</v>
      </c>
      <c r="C145" s="15" t="s">
        <v>14</v>
      </c>
      <c r="D145" s="15">
        <v>72.06</v>
      </c>
      <c r="E145" s="16">
        <v>13.27</v>
      </c>
      <c r="F145" s="16">
        <v>7.9279999999999999</v>
      </c>
      <c r="G145" s="25">
        <v>273127.90509825695</v>
      </c>
      <c r="H145" s="21">
        <f>G145/VLOOKUP(B145, exchange_rates6[], 2, FALSE)</f>
        <v>5013.360959953322</v>
      </c>
      <c r="I145" s="16">
        <f>HDI_Data5[[#This Row],[Expected Schooling ]]/18</f>
        <v>0.73722222222222222</v>
      </c>
      <c r="J145" s="16">
        <f>HDI_Data5[[#This Row],[Mean schooling ]]/15</f>
        <v>0.5285333333333333</v>
      </c>
      <c r="K145" s="22">
        <f>(HDI_Data5[[#This Row],[Life Expectancy ]]-20)/65</f>
        <v>0.80092307692307696</v>
      </c>
      <c r="L145" s="22">
        <f>(HDI_Data5[[#This Row],[EYSI]]+HDI_Data5[[#This Row],[MYSI]])/2</f>
        <v>0.63287777777777776</v>
      </c>
      <c r="M145" s="22">
        <f>( LN( HDI_Data5[[#This Row],[GNI per capita (USD)]] ) - LN(100) ) / ( LN(75000) - LN(100) )</f>
        <v>0.59133660781874653</v>
      </c>
      <c r="N145" s="23">
        <f>POWER((HDI_Data5[[#This Row],[Health Index]]*HDI_Data5[[#This Row],[Education Index]]*HDI_Data5[[#This Row],[Income Index]]), 1/3)</f>
        <v>0.66923987042478872</v>
      </c>
    </row>
    <row r="146" spans="1:14" x14ac:dyDescent="0.3">
      <c r="A146" s="15" t="s">
        <v>18</v>
      </c>
      <c r="B146" s="15">
        <v>2022</v>
      </c>
      <c r="C146" s="15" t="s">
        <v>14</v>
      </c>
      <c r="D146" s="15">
        <v>76.709999999999994</v>
      </c>
      <c r="E146" s="16">
        <v>13.15</v>
      </c>
      <c r="F146" s="16">
        <v>10.39</v>
      </c>
      <c r="G146" s="25">
        <v>397796.35453325737</v>
      </c>
      <c r="H146" s="21">
        <f>G146/VLOOKUP(B146, exchange_rates6[], 2, FALSE)</f>
        <v>7301.6952006838728</v>
      </c>
      <c r="I146" s="16">
        <f>HDI_Data5[[#This Row],[Expected Schooling ]]/18</f>
        <v>0.73055555555555562</v>
      </c>
      <c r="J146" s="16">
        <f>HDI_Data5[[#This Row],[Mean schooling ]]/15</f>
        <v>0.69266666666666665</v>
      </c>
      <c r="K146" s="22">
        <f>(HDI_Data5[[#This Row],[Life Expectancy ]]-20)/65</f>
        <v>0.8724615384615384</v>
      </c>
      <c r="L146" s="22">
        <f>(HDI_Data5[[#This Row],[EYSI]]+HDI_Data5[[#This Row],[MYSI]])/2</f>
        <v>0.71161111111111119</v>
      </c>
      <c r="M146" s="22">
        <f>( LN( HDI_Data5[[#This Row],[GNI per capita (USD)]] ) - LN(100) ) / ( LN(75000) - LN(100) )</f>
        <v>0.64813356281753665</v>
      </c>
      <c r="N146" s="23">
        <f>POWER((HDI_Data5[[#This Row],[Health Index]]*HDI_Data5[[#This Row],[Education Index]]*HDI_Data5[[#This Row],[Income Index]]), 1/3)</f>
        <v>0.73827445364377953</v>
      </c>
    </row>
    <row r="147" spans="1:14" x14ac:dyDescent="0.3">
      <c r="A147" s="15" t="s">
        <v>25</v>
      </c>
      <c r="B147" s="15">
        <v>2022</v>
      </c>
      <c r="C147" s="15" t="s">
        <v>14</v>
      </c>
      <c r="D147" s="15">
        <v>73.66</v>
      </c>
      <c r="E147" s="16">
        <v>12.27</v>
      </c>
      <c r="F147" s="16">
        <v>8.5440000000000005</v>
      </c>
      <c r="G147" s="25">
        <v>296764.88797045173</v>
      </c>
      <c r="H147" s="21">
        <f>G147/VLOOKUP(B147, exchange_rates6[], 2, FALSE)</f>
        <v>5447.2262843328144</v>
      </c>
      <c r="I147" s="16">
        <f>HDI_Data5[[#This Row],[Expected Schooling ]]/18</f>
        <v>0.68166666666666664</v>
      </c>
      <c r="J147" s="16">
        <f>HDI_Data5[[#This Row],[Mean schooling ]]/15</f>
        <v>0.5696</v>
      </c>
      <c r="K147" s="22">
        <f>(HDI_Data5[[#This Row],[Life Expectancy ]]-20)/65</f>
        <v>0.82553846153846144</v>
      </c>
      <c r="L147" s="22">
        <f>(HDI_Data5[[#This Row],[EYSI]]+HDI_Data5[[#This Row],[MYSI]])/2</f>
        <v>0.62563333333333326</v>
      </c>
      <c r="M147" s="22">
        <f>( LN( HDI_Data5[[#This Row],[GNI per capita (USD)]] ) - LN(100) ) / ( LN(75000) - LN(100) )</f>
        <v>0.60387423352326663</v>
      </c>
      <c r="N147" s="23">
        <f>POWER((HDI_Data5[[#This Row],[Health Index]]*HDI_Data5[[#This Row],[Education Index]]*HDI_Data5[[#This Row],[Income Index]]), 1/3)</f>
        <v>0.6781637373020204</v>
      </c>
    </row>
    <row r="148" spans="1:14" x14ac:dyDescent="0.3">
      <c r="A148" s="15" t="s">
        <v>26</v>
      </c>
      <c r="B148" s="15">
        <v>2022</v>
      </c>
      <c r="C148" s="15" t="s">
        <v>14</v>
      </c>
      <c r="D148" s="15">
        <v>74.510000000000005</v>
      </c>
      <c r="E148" s="16">
        <v>13.41</v>
      </c>
      <c r="F148" s="16">
        <v>9.3550000000000004</v>
      </c>
      <c r="G148" s="25">
        <v>315115.80377846456</v>
      </c>
      <c r="H148" s="21">
        <f>G148/VLOOKUP(B148, exchange_rates6[], 2, FALSE)</f>
        <v>5784.0639460070588</v>
      </c>
      <c r="I148" s="16">
        <f>HDI_Data5[[#This Row],[Expected Schooling ]]/18</f>
        <v>0.745</v>
      </c>
      <c r="J148" s="16">
        <f>HDI_Data5[[#This Row],[Mean schooling ]]/15</f>
        <v>0.6236666666666667</v>
      </c>
      <c r="K148" s="22">
        <f>(HDI_Data5[[#This Row],[Life Expectancy ]]-20)/65</f>
        <v>0.83861538461538465</v>
      </c>
      <c r="L148" s="22">
        <f>(HDI_Data5[[#This Row],[EYSI]]+HDI_Data5[[#This Row],[MYSI]])/2</f>
        <v>0.68433333333333335</v>
      </c>
      <c r="M148" s="22">
        <f>( LN( HDI_Data5[[#This Row],[GNI per capita (USD)]] ) - LN(100) ) / ( LN(75000) - LN(100) )</f>
        <v>0.61293757740605204</v>
      </c>
      <c r="N148" s="23">
        <f>POWER((HDI_Data5[[#This Row],[Health Index]]*HDI_Data5[[#This Row],[Education Index]]*HDI_Data5[[#This Row],[Income Index]]), 1/3)</f>
        <v>0.70590933082405827</v>
      </c>
    </row>
    <row r="149" spans="1:14" x14ac:dyDescent="0.3">
      <c r="A149" s="15" t="s">
        <v>27</v>
      </c>
      <c r="B149" s="15">
        <v>2022</v>
      </c>
      <c r="C149" s="15" t="s">
        <v>14</v>
      </c>
      <c r="D149" s="15">
        <v>73.48</v>
      </c>
      <c r="E149" s="16">
        <v>13.16</v>
      </c>
      <c r="F149" s="16">
        <v>8.6059999999999999</v>
      </c>
      <c r="G149" s="25">
        <v>300047.32202763093</v>
      </c>
      <c r="H149" s="21">
        <f>G149/VLOOKUP(B149, exchange_rates6[], 2, FALSE)</f>
        <v>5507.4765423573963</v>
      </c>
      <c r="I149" s="16">
        <f>HDI_Data5[[#This Row],[Expected Schooling ]]/18</f>
        <v>0.73111111111111116</v>
      </c>
      <c r="J149" s="16">
        <f>HDI_Data5[[#This Row],[Mean schooling ]]/15</f>
        <v>0.57373333333333332</v>
      </c>
      <c r="K149" s="22">
        <f>(HDI_Data5[[#This Row],[Life Expectancy ]]-20)/65</f>
        <v>0.82276923076923081</v>
      </c>
      <c r="L149" s="22">
        <f>(HDI_Data5[[#This Row],[EYSI]]+HDI_Data5[[#This Row],[MYSI]])/2</f>
        <v>0.65242222222222224</v>
      </c>
      <c r="M149" s="22">
        <f>( LN( HDI_Data5[[#This Row],[GNI per capita (USD)]] ) - LN(100) ) / ( LN(75000) - LN(100) )</f>
        <v>0.60553584656844395</v>
      </c>
      <c r="N149" s="23">
        <f>POWER((HDI_Data5[[#This Row],[Health Index]]*HDI_Data5[[#This Row],[Education Index]]*HDI_Data5[[#This Row],[Income Index]]), 1/3)</f>
        <v>0.6875678293391505</v>
      </c>
    </row>
    <row r="150" spans="1:14" x14ac:dyDescent="0.3">
      <c r="A150" s="15" t="s">
        <v>28</v>
      </c>
      <c r="B150" s="15">
        <v>2022</v>
      </c>
      <c r="C150" s="15" t="s">
        <v>14</v>
      </c>
      <c r="D150" s="15">
        <v>73.34</v>
      </c>
      <c r="E150" s="16">
        <v>13.67</v>
      </c>
      <c r="F150" s="16">
        <v>8.8650000000000002</v>
      </c>
      <c r="G150" s="25">
        <v>297954.32481009729</v>
      </c>
      <c r="H150" s="21">
        <f>G150/VLOOKUP(B150, exchange_rates6[], 2, FALSE)</f>
        <v>5469.0588254423146</v>
      </c>
      <c r="I150" s="16">
        <f>HDI_Data5[[#This Row],[Expected Schooling ]]/18</f>
        <v>0.75944444444444448</v>
      </c>
      <c r="J150" s="16">
        <f>HDI_Data5[[#This Row],[Mean schooling ]]/15</f>
        <v>0.59099999999999997</v>
      </c>
      <c r="K150" s="22">
        <f>(HDI_Data5[[#This Row],[Life Expectancy ]]-20)/65</f>
        <v>0.82061538461538464</v>
      </c>
      <c r="L150" s="22">
        <f>(HDI_Data5[[#This Row],[EYSI]]+HDI_Data5[[#This Row],[MYSI]])/2</f>
        <v>0.67522222222222217</v>
      </c>
      <c r="M150" s="22">
        <f>( LN( HDI_Data5[[#This Row],[GNI per capita (USD)]] ) - LN(100) ) / ( LN(75000) - LN(100) )</f>
        <v>0.60447845644878562</v>
      </c>
      <c r="N150" s="23">
        <f>POWER((HDI_Data5[[#This Row],[Health Index]]*HDI_Data5[[#This Row],[Education Index]]*HDI_Data5[[#This Row],[Income Index]]), 1/3)</f>
        <v>0.69447359256717267</v>
      </c>
    </row>
    <row r="151" spans="1:14" x14ac:dyDescent="0.3">
      <c r="A151" s="15" t="s">
        <v>29</v>
      </c>
      <c r="B151" s="15">
        <v>2022</v>
      </c>
      <c r="C151" s="15" t="s">
        <v>14</v>
      </c>
      <c r="D151" s="15">
        <v>74.959999999999994</v>
      </c>
      <c r="E151" s="16">
        <v>13.56</v>
      </c>
      <c r="F151" s="16">
        <v>9.0069999999999997</v>
      </c>
      <c r="G151" s="25">
        <v>347213.61728522449</v>
      </c>
      <c r="H151" s="21">
        <f>G151/VLOOKUP(B151, exchange_rates6[], 2, FALSE)</f>
        <v>6373.2308605951639</v>
      </c>
      <c r="I151" s="16">
        <f>HDI_Data5[[#This Row],[Expected Schooling ]]/18</f>
        <v>0.75333333333333341</v>
      </c>
      <c r="J151" s="16">
        <f>HDI_Data5[[#This Row],[Mean schooling ]]/15</f>
        <v>0.60046666666666659</v>
      </c>
      <c r="K151" s="22">
        <f>(HDI_Data5[[#This Row],[Life Expectancy ]]-20)/65</f>
        <v>0.84553846153846146</v>
      </c>
      <c r="L151" s="22">
        <f>(HDI_Data5[[#This Row],[EYSI]]+HDI_Data5[[#This Row],[MYSI]])/2</f>
        <v>0.67690000000000006</v>
      </c>
      <c r="M151" s="22">
        <f>( LN( HDI_Data5[[#This Row],[GNI per capita (USD)]] ) - LN(100) ) / ( LN(75000) - LN(100) )</f>
        <v>0.62758998334988902</v>
      </c>
      <c r="N151" s="23">
        <f>POWER((HDI_Data5[[#This Row],[Health Index]]*HDI_Data5[[#This Row],[Education Index]]*HDI_Data5[[#This Row],[Income Index]]), 1/3)</f>
        <v>0.71084998999028193</v>
      </c>
    </row>
    <row r="152" spans="1:14" x14ac:dyDescent="0.3">
      <c r="A152" s="15" t="s">
        <v>30</v>
      </c>
      <c r="B152" s="15">
        <v>2022</v>
      </c>
      <c r="C152" s="15" t="s">
        <v>14</v>
      </c>
      <c r="D152" s="15">
        <v>76.09</v>
      </c>
      <c r="E152" s="16">
        <v>13.05</v>
      </c>
      <c r="F152" s="16">
        <v>8.9719999999999995</v>
      </c>
      <c r="G152" s="25">
        <v>325688.10891868989</v>
      </c>
      <c r="H152" s="21">
        <f>G152/VLOOKUP(B152, exchange_rates6[], 2, FALSE)</f>
        <v>5978.1224104017974</v>
      </c>
      <c r="I152" s="16">
        <f>HDI_Data5[[#This Row],[Expected Schooling ]]/18</f>
        <v>0.72500000000000009</v>
      </c>
      <c r="J152" s="16">
        <f>HDI_Data5[[#This Row],[Mean schooling ]]/15</f>
        <v>0.59813333333333329</v>
      </c>
      <c r="K152" s="22">
        <f>(HDI_Data5[[#This Row],[Life Expectancy ]]-20)/65</f>
        <v>0.86292307692307701</v>
      </c>
      <c r="L152" s="22">
        <f>(HDI_Data5[[#This Row],[EYSI]]+HDI_Data5[[#This Row],[MYSI]])/2</f>
        <v>0.66156666666666664</v>
      </c>
      <c r="M152" s="22">
        <f>( LN( HDI_Data5[[#This Row],[GNI per capita (USD)]] ) - LN(100) ) / ( LN(75000) - LN(100) )</f>
        <v>0.61792241654158464</v>
      </c>
      <c r="N152" s="23">
        <f>POWER((HDI_Data5[[#This Row],[Health Index]]*HDI_Data5[[#This Row],[Education Index]]*HDI_Data5[[#This Row],[Income Index]]), 1/3)</f>
        <v>0.70657762877679442</v>
      </c>
    </row>
    <row r="153" spans="1:14" x14ac:dyDescent="0.3">
      <c r="A153" s="15" t="s">
        <v>31</v>
      </c>
      <c r="B153" s="15">
        <v>2022</v>
      </c>
      <c r="C153" s="15" t="s">
        <v>14</v>
      </c>
      <c r="D153" s="15">
        <v>72.91</v>
      </c>
      <c r="E153" s="16">
        <v>13.29</v>
      </c>
      <c r="F153" s="16">
        <v>8.49</v>
      </c>
      <c r="G153" s="25">
        <v>286557.78317933809</v>
      </c>
      <c r="H153" s="21">
        <f>G153/VLOOKUP(B153, exchange_rates6[], 2, FALSE)</f>
        <v>5259.8712037323439</v>
      </c>
      <c r="I153" s="16">
        <f>HDI_Data5[[#This Row],[Expected Schooling ]]/18</f>
        <v>0.73833333333333329</v>
      </c>
      <c r="J153" s="16">
        <f>HDI_Data5[[#This Row],[Mean schooling ]]/15</f>
        <v>0.56600000000000006</v>
      </c>
      <c r="K153" s="22">
        <f>(HDI_Data5[[#This Row],[Life Expectancy ]]-20)/65</f>
        <v>0.81399999999999995</v>
      </c>
      <c r="L153" s="22">
        <f>(HDI_Data5[[#This Row],[EYSI]]+HDI_Data5[[#This Row],[MYSI]])/2</f>
        <v>0.65216666666666667</v>
      </c>
      <c r="M153" s="22">
        <f>( LN( HDI_Data5[[#This Row],[GNI per capita (USD)]] ) - LN(100) ) / ( LN(75000) - LN(100) )</f>
        <v>0.59858728292497532</v>
      </c>
      <c r="N153" s="23">
        <f>POWER((HDI_Data5[[#This Row],[Health Index]]*HDI_Data5[[#This Row],[Education Index]]*HDI_Data5[[#This Row],[Income Index]]), 1/3)</f>
        <v>0.68239656092862688</v>
      </c>
    </row>
    <row r="154" spans="1:14" x14ac:dyDescent="0.3">
      <c r="A154" s="15" t="s">
        <v>32</v>
      </c>
      <c r="B154" s="15">
        <v>2022</v>
      </c>
      <c r="C154" s="15" t="s">
        <v>14</v>
      </c>
      <c r="D154" s="15">
        <v>75.81</v>
      </c>
      <c r="E154" s="16">
        <v>13.53</v>
      </c>
      <c r="F154" s="16">
        <v>9.0519999999999996</v>
      </c>
      <c r="G154" s="25">
        <v>320839.24468254397</v>
      </c>
      <c r="H154" s="21">
        <f>G154/VLOOKUP(B154, exchange_rates6[], 2, FALSE)</f>
        <v>5889.1197628954478</v>
      </c>
      <c r="I154" s="16">
        <f>HDI_Data5[[#This Row],[Expected Schooling ]]/18</f>
        <v>0.75166666666666659</v>
      </c>
      <c r="J154" s="16">
        <f>HDI_Data5[[#This Row],[Mean schooling ]]/15</f>
        <v>0.6034666666666666</v>
      </c>
      <c r="K154" s="22">
        <f>(HDI_Data5[[#This Row],[Life Expectancy ]]-20)/65</f>
        <v>0.85861538461538467</v>
      </c>
      <c r="L154" s="22">
        <f>(HDI_Data5[[#This Row],[EYSI]]+HDI_Data5[[#This Row],[MYSI]])/2</f>
        <v>0.67756666666666665</v>
      </c>
      <c r="M154" s="22">
        <f>( LN( HDI_Data5[[#This Row],[GNI per capita (USD)]] ) - LN(100) ) / ( LN(75000) - LN(100) )</f>
        <v>0.61565658057088812</v>
      </c>
      <c r="N154" s="23">
        <f>POWER((HDI_Data5[[#This Row],[Health Index]]*HDI_Data5[[#This Row],[Education Index]]*HDI_Data5[[#This Row],[Income Index]]), 1/3)</f>
        <v>0.71017123044147157</v>
      </c>
    </row>
    <row r="155" spans="1:14" x14ac:dyDescent="0.3">
      <c r="A155" s="15" t="s">
        <v>16</v>
      </c>
      <c r="B155" s="15">
        <v>2022</v>
      </c>
      <c r="C155" s="15" t="s">
        <v>15</v>
      </c>
      <c r="D155" s="15">
        <v>69.41</v>
      </c>
      <c r="E155" s="16">
        <v>11.05</v>
      </c>
      <c r="F155" s="16">
        <v>6.3780000000000001</v>
      </c>
      <c r="G155" s="25">
        <v>315115.80377846456</v>
      </c>
      <c r="H155" s="21">
        <f>G155/VLOOKUP(B155, exchange_rates6[], 2, FALSE)</f>
        <v>5784.0639460070588</v>
      </c>
      <c r="I155" s="16">
        <f>HDI_Data5[[#This Row],[Expected Schooling ]]/18</f>
        <v>0.61388888888888893</v>
      </c>
      <c r="J155" s="16">
        <f>HDI_Data5[[#This Row],[Mean schooling ]]/15</f>
        <v>0.42520000000000002</v>
      </c>
      <c r="K155" s="22">
        <f>(HDI_Data5[[#This Row],[Life Expectancy ]]-20)/65</f>
        <v>0.76015384615384607</v>
      </c>
      <c r="L155" s="22">
        <f>(HDI_Data5[[#This Row],[EYSI]]+HDI_Data5[[#This Row],[MYSI]])/2</f>
        <v>0.51954444444444448</v>
      </c>
      <c r="M155" s="22">
        <f>( LN( HDI_Data5[[#This Row],[GNI per capita (USD)]] ) - LN(100) ) / ( LN(75000) - LN(100) )</f>
        <v>0.61293757740605204</v>
      </c>
      <c r="N155" s="23">
        <f>POWER((HDI_Data5[[#This Row],[Health Index]]*HDI_Data5[[#This Row],[Education Index]]*HDI_Data5[[#This Row],[Income Index]]), 1/3)</f>
        <v>0.62322779885926705</v>
      </c>
    </row>
    <row r="156" spans="1:14" x14ac:dyDescent="0.3">
      <c r="A156" s="15" t="s">
        <v>17</v>
      </c>
      <c r="B156" s="15">
        <v>2022</v>
      </c>
      <c r="C156" s="15" t="s">
        <v>15</v>
      </c>
      <c r="D156" s="15">
        <v>71.760000000000005</v>
      </c>
      <c r="E156" s="16">
        <v>13.2</v>
      </c>
      <c r="F156" s="16">
        <v>9.2550000000000008</v>
      </c>
      <c r="G156" s="25">
        <v>712614.21589675802</v>
      </c>
      <c r="H156" s="21">
        <f>G156/VLOOKUP(B156, exchange_rates6[], 2, FALSE)</f>
        <v>13080.290306475001</v>
      </c>
      <c r="I156" s="16">
        <f>HDI_Data5[[#This Row],[Expected Schooling ]]/18</f>
        <v>0.73333333333333328</v>
      </c>
      <c r="J156" s="16">
        <f>HDI_Data5[[#This Row],[Mean schooling ]]/15</f>
        <v>0.6170000000000001</v>
      </c>
      <c r="K156" s="22">
        <f>(HDI_Data5[[#This Row],[Life Expectancy ]]-20)/65</f>
        <v>0.79630769230769238</v>
      </c>
      <c r="L156" s="22">
        <f>(HDI_Data5[[#This Row],[EYSI]]+HDI_Data5[[#This Row],[MYSI]])/2</f>
        <v>0.67516666666666669</v>
      </c>
      <c r="M156" s="22">
        <f>( LN( HDI_Data5[[#This Row],[GNI per capita (USD)]] ) - LN(100) ) / ( LN(75000) - LN(100) )</f>
        <v>0.73619905421193688</v>
      </c>
      <c r="N156" s="23">
        <f>POWER((HDI_Data5[[#This Row],[Health Index]]*HDI_Data5[[#This Row],[Education Index]]*HDI_Data5[[#This Row],[Income Index]]), 1/3)</f>
        <v>0.7342248056892392</v>
      </c>
    </row>
    <row r="157" spans="1:14" x14ac:dyDescent="0.3">
      <c r="A157" s="15" t="s">
        <v>19</v>
      </c>
      <c r="B157" s="15">
        <v>2022</v>
      </c>
      <c r="C157" s="15" t="s">
        <v>15</v>
      </c>
      <c r="D157" s="15">
        <v>67.69</v>
      </c>
      <c r="E157" s="16">
        <v>12.53</v>
      </c>
      <c r="F157" s="16">
        <v>8.9689999999999994</v>
      </c>
      <c r="G157" s="25">
        <v>719056.69149336219</v>
      </c>
      <c r="H157" s="21">
        <f>G157/VLOOKUP(B157, exchange_rates6[], 2, FALSE)</f>
        <v>13198.544263828235</v>
      </c>
      <c r="I157" s="16">
        <f>HDI_Data5[[#This Row],[Expected Schooling ]]/18</f>
        <v>0.69611111111111112</v>
      </c>
      <c r="J157" s="16">
        <f>HDI_Data5[[#This Row],[Mean schooling ]]/15</f>
        <v>0.59793333333333332</v>
      </c>
      <c r="K157" s="22">
        <f>(HDI_Data5[[#This Row],[Life Expectancy ]]-20)/65</f>
        <v>0.73369230769230764</v>
      </c>
      <c r="L157" s="22">
        <f>(HDI_Data5[[#This Row],[EYSI]]+HDI_Data5[[#This Row],[MYSI]])/2</f>
        <v>0.64702222222222217</v>
      </c>
      <c r="M157" s="22">
        <f>( LN( HDI_Data5[[#This Row],[GNI per capita (USD)]] ) - LN(100) ) / ( LN(75000) - LN(100) )</f>
        <v>0.73755855579435481</v>
      </c>
      <c r="N157" s="23">
        <f>POWER((HDI_Data5[[#This Row],[Health Index]]*HDI_Data5[[#This Row],[Education Index]]*HDI_Data5[[#This Row],[Income Index]]), 1/3)</f>
        <v>0.70481730087872785</v>
      </c>
    </row>
    <row r="158" spans="1:14" x14ac:dyDescent="0.3">
      <c r="A158" s="15" t="s">
        <v>20</v>
      </c>
      <c r="B158" s="15">
        <v>2022</v>
      </c>
      <c r="C158" s="15" t="s">
        <v>15</v>
      </c>
      <c r="D158" s="15">
        <v>72.11</v>
      </c>
      <c r="E158" s="16">
        <v>13.08</v>
      </c>
      <c r="F158" s="16">
        <v>8.0589999999999993</v>
      </c>
      <c r="G158" s="25">
        <v>653237.12973513652</v>
      </c>
      <c r="H158" s="21">
        <f>G158/VLOOKUP(B158, exchange_rates6[], 2, FALSE)</f>
        <v>11990.402528177983</v>
      </c>
      <c r="I158" s="16">
        <f>HDI_Data5[[#This Row],[Expected Schooling ]]/18</f>
        <v>0.72666666666666668</v>
      </c>
      <c r="J158" s="16">
        <f>HDI_Data5[[#This Row],[Mean schooling ]]/15</f>
        <v>0.53726666666666667</v>
      </c>
      <c r="K158" s="22">
        <f>(HDI_Data5[[#This Row],[Life Expectancy ]]-20)/65</f>
        <v>0.8016923076923077</v>
      </c>
      <c r="L158" s="22">
        <f>(HDI_Data5[[#This Row],[EYSI]]+HDI_Data5[[#This Row],[MYSI]])/2</f>
        <v>0.63196666666666668</v>
      </c>
      <c r="M158" s="22">
        <f>( LN( HDI_Data5[[#This Row],[GNI per capita (USD)]] ) - LN(100) ) / ( LN(75000) - LN(100) )</f>
        <v>0.72305720558189801</v>
      </c>
      <c r="N158" s="23">
        <f>POWER((HDI_Data5[[#This Row],[Health Index]]*HDI_Data5[[#This Row],[Education Index]]*HDI_Data5[[#This Row],[Income Index]]), 1/3)</f>
        <v>0.71552506027939133</v>
      </c>
    </row>
    <row r="159" spans="1:14" x14ac:dyDescent="0.3">
      <c r="A159" s="15" t="s">
        <v>21</v>
      </c>
      <c r="B159" s="15">
        <v>2022</v>
      </c>
      <c r="C159" s="15" t="s">
        <v>15</v>
      </c>
      <c r="D159" s="15">
        <v>70.23</v>
      </c>
      <c r="E159" s="16">
        <v>12.58</v>
      </c>
      <c r="F159" s="16">
        <v>9.1170000000000009</v>
      </c>
      <c r="G159" s="25">
        <v>784416.55727931857</v>
      </c>
      <c r="H159" s="21">
        <f>G159/VLOOKUP(B159, exchange_rates6[], 2, FALSE)</f>
        <v>14398.248114524939</v>
      </c>
      <c r="I159" s="16">
        <f>HDI_Data5[[#This Row],[Expected Schooling ]]/18</f>
        <v>0.69888888888888889</v>
      </c>
      <c r="J159" s="16">
        <f>HDI_Data5[[#This Row],[Mean schooling ]]/15</f>
        <v>0.60780000000000001</v>
      </c>
      <c r="K159" s="22">
        <f>(HDI_Data5[[#This Row],[Life Expectancy ]]-20)/65</f>
        <v>0.77276923076923087</v>
      </c>
      <c r="L159" s="22">
        <f>(HDI_Data5[[#This Row],[EYSI]]+HDI_Data5[[#This Row],[MYSI]])/2</f>
        <v>0.65334444444444451</v>
      </c>
      <c r="M159" s="22">
        <f>( LN( HDI_Data5[[#This Row],[GNI per capita (USD)]] ) - LN(100) ) / ( LN(75000) - LN(100) )</f>
        <v>0.7507004044243939</v>
      </c>
      <c r="N159" s="23">
        <f>POWER((HDI_Data5[[#This Row],[Health Index]]*HDI_Data5[[#This Row],[Education Index]]*HDI_Data5[[#This Row],[Income Index]]), 1/3)</f>
        <v>0.72369053280072504</v>
      </c>
    </row>
    <row r="160" spans="1:14" x14ac:dyDescent="0.3">
      <c r="A160" s="15" t="s">
        <v>22</v>
      </c>
      <c r="B160" s="15">
        <v>2022</v>
      </c>
      <c r="C160" s="15" t="s">
        <v>15</v>
      </c>
      <c r="D160" s="15">
        <v>69.78</v>
      </c>
      <c r="E160" s="16">
        <v>12.36</v>
      </c>
      <c r="F160" s="16">
        <v>9.3249999999999993</v>
      </c>
      <c r="G160" s="25">
        <v>777388.48204181704</v>
      </c>
      <c r="H160" s="21">
        <f>G160/VLOOKUP(B160, exchange_rates6[], 2, FALSE)</f>
        <v>14269.245265084748</v>
      </c>
      <c r="I160" s="16">
        <f>HDI_Data5[[#This Row],[Expected Schooling ]]/18</f>
        <v>0.68666666666666665</v>
      </c>
      <c r="J160" s="16">
        <f>HDI_Data5[[#This Row],[Mean schooling ]]/15</f>
        <v>0.62166666666666659</v>
      </c>
      <c r="K160" s="22">
        <f>(HDI_Data5[[#This Row],[Life Expectancy ]]-20)/65</f>
        <v>0.76584615384615384</v>
      </c>
      <c r="L160" s="22">
        <f>(HDI_Data5[[#This Row],[EYSI]]+HDI_Data5[[#This Row],[MYSI]])/2</f>
        <v>0.65416666666666656</v>
      </c>
      <c r="M160" s="22">
        <f>( LN( HDI_Data5[[#This Row],[GNI per capita (USD)]] ) - LN(100) ) / ( LN(75000) - LN(100) )</f>
        <v>0.74934090284197596</v>
      </c>
      <c r="N160" s="23">
        <f>POWER((HDI_Data5[[#This Row],[Health Index]]*HDI_Data5[[#This Row],[Education Index]]*HDI_Data5[[#This Row],[Income Index]]), 1/3)</f>
        <v>0.72138946416411165</v>
      </c>
    </row>
    <row r="161" spans="1:14" x14ac:dyDescent="0.3">
      <c r="A161" s="15" t="s">
        <v>23</v>
      </c>
      <c r="B161" s="15">
        <v>2022</v>
      </c>
      <c r="C161" s="15" t="s">
        <v>15</v>
      </c>
      <c r="D161" s="15">
        <v>69.61</v>
      </c>
      <c r="E161" s="16">
        <v>13.05</v>
      </c>
      <c r="F161" s="16">
        <v>7.8250000000000002</v>
      </c>
      <c r="G161" s="25">
        <v>546175.41787673405</v>
      </c>
      <c r="H161" s="21">
        <f>G161/VLOOKUP(B161, exchange_rates6[], 2, FALSE)</f>
        <v>10025.246289954737</v>
      </c>
      <c r="I161" s="16">
        <f>HDI_Data5[[#This Row],[Expected Schooling ]]/18</f>
        <v>0.72500000000000009</v>
      </c>
      <c r="J161" s="16">
        <f>HDI_Data5[[#This Row],[Mean schooling ]]/15</f>
        <v>0.52166666666666672</v>
      </c>
      <c r="K161" s="22">
        <f>(HDI_Data5[[#This Row],[Life Expectancy ]]-20)/65</f>
        <v>0.76323076923076927</v>
      </c>
      <c r="L161" s="22">
        <f>(HDI_Data5[[#This Row],[EYSI]]+HDI_Data5[[#This Row],[MYSI]])/2</f>
        <v>0.62333333333333341</v>
      </c>
      <c r="M161" s="22">
        <f>( LN( HDI_Data5[[#This Row],[GNI per capita (USD)]] ) - LN(100) ) / ( LN(75000) - LN(100) )</f>
        <v>0.69601822966492055</v>
      </c>
      <c r="N161" s="23">
        <f>POWER((HDI_Data5[[#This Row],[Health Index]]*HDI_Data5[[#This Row],[Education Index]]*HDI_Data5[[#This Row],[Income Index]]), 1/3)</f>
        <v>0.69182929122673464</v>
      </c>
    </row>
    <row r="162" spans="1:14" x14ac:dyDescent="0.3">
      <c r="A162" s="15" t="s">
        <v>24</v>
      </c>
      <c r="B162" s="15">
        <v>2022</v>
      </c>
      <c r="C162" s="15" t="s">
        <v>15</v>
      </c>
      <c r="D162" s="15">
        <v>68.510000000000005</v>
      </c>
      <c r="E162" s="16">
        <v>12.62</v>
      </c>
      <c r="F162" s="16">
        <v>7.2009999999999996</v>
      </c>
      <c r="G162" s="25">
        <v>515398.4043706517</v>
      </c>
      <c r="H162" s="21">
        <f>G162/VLOOKUP(B162, exchange_rates6[], 2, FALSE)</f>
        <v>9460.3231345567492</v>
      </c>
      <c r="I162" s="16">
        <f>HDI_Data5[[#This Row],[Expected Schooling ]]/18</f>
        <v>0.70111111111111102</v>
      </c>
      <c r="J162" s="16">
        <f>HDI_Data5[[#This Row],[Mean schooling ]]/15</f>
        <v>0.48006666666666664</v>
      </c>
      <c r="K162" s="22">
        <f>(HDI_Data5[[#This Row],[Life Expectancy ]]-20)/65</f>
        <v>0.74630769230769234</v>
      </c>
      <c r="L162" s="22">
        <f>(HDI_Data5[[#This Row],[EYSI]]+HDI_Data5[[#This Row],[MYSI]])/2</f>
        <v>0.59058888888888883</v>
      </c>
      <c r="M162" s="22">
        <f>( LN( HDI_Data5[[#This Row],[GNI per capita (USD)]] ) - LN(100) ) / ( LN(75000) - LN(100) )</f>
        <v>0.68725699724489442</v>
      </c>
      <c r="N162" s="23">
        <f>POWER((HDI_Data5[[#This Row],[Health Index]]*HDI_Data5[[#This Row],[Education Index]]*HDI_Data5[[#This Row],[Income Index]]), 1/3)</f>
        <v>0.67159499886266971</v>
      </c>
    </row>
    <row r="163" spans="1:14" x14ac:dyDescent="0.3">
      <c r="A163" s="15" t="s">
        <v>18</v>
      </c>
      <c r="B163" s="15">
        <v>2022</v>
      </c>
      <c r="C163" s="15" t="s">
        <v>15</v>
      </c>
      <c r="D163" s="15">
        <v>72.25</v>
      </c>
      <c r="E163" s="16">
        <v>12.4</v>
      </c>
      <c r="F163" s="16">
        <v>10.1</v>
      </c>
      <c r="G163" s="25">
        <v>771965.76432228892</v>
      </c>
      <c r="H163" s="21">
        <f>G163/VLOOKUP(B163, exchange_rates6[], 2, FALSE)</f>
        <v>14169.709330438491</v>
      </c>
      <c r="I163" s="16">
        <f>HDI_Data5[[#This Row],[Expected Schooling ]]/18</f>
        <v>0.68888888888888888</v>
      </c>
      <c r="J163" s="16">
        <f>HDI_Data5[[#This Row],[Mean schooling ]]/15</f>
        <v>0.67333333333333334</v>
      </c>
      <c r="K163" s="22">
        <f>(HDI_Data5[[#This Row],[Life Expectancy ]]-20)/65</f>
        <v>0.80384615384615388</v>
      </c>
      <c r="L163" s="22">
        <f>(HDI_Data5[[#This Row],[EYSI]]+HDI_Data5[[#This Row],[MYSI]])/2</f>
        <v>0.68111111111111111</v>
      </c>
      <c r="M163" s="22">
        <f>( LN( HDI_Data5[[#This Row],[GNI per capita (USD)]] ) - LN(100) ) / ( LN(75000) - LN(100) )</f>
        <v>0.74828351272231797</v>
      </c>
      <c r="N163" s="23">
        <f>POWER((HDI_Data5[[#This Row],[Health Index]]*HDI_Data5[[#This Row],[Education Index]]*HDI_Data5[[#This Row],[Income Index]]), 1/3)</f>
        <v>0.74270958122972008</v>
      </c>
    </row>
    <row r="164" spans="1:14" x14ac:dyDescent="0.3">
      <c r="A164" s="15" t="s">
        <v>25</v>
      </c>
      <c r="B164" s="15">
        <v>2022</v>
      </c>
      <c r="C164" s="15" t="s">
        <v>15</v>
      </c>
      <c r="D164" s="15">
        <v>69.8</v>
      </c>
      <c r="E164" s="16">
        <v>11.27</v>
      </c>
      <c r="F164" s="16">
        <v>7.86</v>
      </c>
      <c r="G164" s="25">
        <v>563935.67992506607</v>
      </c>
      <c r="H164" s="21">
        <f>G164/VLOOKUP(B164, exchange_rates6[], 2, FALSE)</f>
        <v>10351.24228937346</v>
      </c>
      <c r="I164" s="16">
        <f>HDI_Data5[[#This Row],[Expected Schooling ]]/18</f>
        <v>0.62611111111111106</v>
      </c>
      <c r="J164" s="16">
        <f>HDI_Data5[[#This Row],[Mean schooling ]]/15</f>
        <v>0.52400000000000002</v>
      </c>
      <c r="K164" s="22">
        <f>(HDI_Data5[[#This Row],[Life Expectancy ]]-20)/65</f>
        <v>0.76615384615384607</v>
      </c>
      <c r="L164" s="22">
        <f>(HDI_Data5[[#This Row],[EYSI]]+HDI_Data5[[#This Row],[MYSI]])/2</f>
        <v>0.57505555555555554</v>
      </c>
      <c r="M164" s="22">
        <f>( LN( HDI_Data5[[#This Row],[GNI per capita (USD)]] ) - LN(100) ) / ( LN(75000) - LN(100) )</f>
        <v>0.70085201306907319</v>
      </c>
      <c r="N164" s="23">
        <f>POWER((HDI_Data5[[#This Row],[Health Index]]*HDI_Data5[[#This Row],[Education Index]]*HDI_Data5[[#This Row],[Income Index]]), 1/3)</f>
        <v>0.67590247733932041</v>
      </c>
    </row>
    <row r="165" spans="1:14" x14ac:dyDescent="0.3">
      <c r="A165" s="15" t="s">
        <v>26</v>
      </c>
      <c r="B165" s="15">
        <v>2022</v>
      </c>
      <c r="C165" s="15" t="s">
        <v>15</v>
      </c>
      <c r="D165" s="15">
        <v>70.489999999999995</v>
      </c>
      <c r="E165" s="16">
        <v>12.97</v>
      </c>
      <c r="F165" s="16">
        <v>8.8829999999999991</v>
      </c>
      <c r="G165" s="25">
        <v>601207.54175851424</v>
      </c>
      <c r="H165" s="21">
        <f>G165/VLOOKUP(B165, exchange_rates6[], 2, FALSE)</f>
        <v>11035.38072243969</v>
      </c>
      <c r="I165" s="16">
        <f>HDI_Data5[[#This Row],[Expected Schooling ]]/18</f>
        <v>0.72055555555555562</v>
      </c>
      <c r="J165" s="16">
        <f>HDI_Data5[[#This Row],[Mean schooling ]]/15</f>
        <v>0.59219999999999995</v>
      </c>
      <c r="K165" s="22">
        <f>(HDI_Data5[[#This Row],[Life Expectancy ]]-20)/65</f>
        <v>0.77676923076923066</v>
      </c>
      <c r="L165" s="22">
        <f>(HDI_Data5[[#This Row],[EYSI]]+HDI_Data5[[#This Row],[MYSI]])/2</f>
        <v>0.65637777777777773</v>
      </c>
      <c r="M165" s="22">
        <f>( LN( HDI_Data5[[#This Row],[GNI per capita (USD)]] ) - LN(100) ) / ( LN(75000) - LN(100) )</f>
        <v>0.7105195798773779</v>
      </c>
      <c r="N165" s="23">
        <f>POWER((HDI_Data5[[#This Row],[Health Index]]*HDI_Data5[[#This Row],[Education Index]]*HDI_Data5[[#This Row],[Income Index]]), 1/3)</f>
        <v>0.71286503087330555</v>
      </c>
    </row>
    <row r="166" spans="1:14" x14ac:dyDescent="0.3">
      <c r="A166" s="15" t="s">
        <v>27</v>
      </c>
      <c r="B166" s="15">
        <v>2022</v>
      </c>
      <c r="C166" s="15" t="s">
        <v>15</v>
      </c>
      <c r="D166" s="15">
        <v>69.66</v>
      </c>
      <c r="E166" s="16">
        <v>12.63</v>
      </c>
      <c r="F166" s="16">
        <v>8.1720000000000006</v>
      </c>
      <c r="G166" s="25">
        <v>570173.21595739096</v>
      </c>
      <c r="H166" s="21">
        <f>G166/VLOOKUP(B166, exchange_rates6[], 2, FALSE)</f>
        <v>10465.734507294255</v>
      </c>
      <c r="I166" s="16">
        <f>HDI_Data5[[#This Row],[Expected Schooling ]]/18</f>
        <v>0.70166666666666666</v>
      </c>
      <c r="J166" s="16">
        <f>HDI_Data5[[#This Row],[Mean schooling ]]/15</f>
        <v>0.54480000000000006</v>
      </c>
      <c r="K166" s="22">
        <f>(HDI_Data5[[#This Row],[Life Expectancy ]]-20)/65</f>
        <v>0.7639999999999999</v>
      </c>
      <c r="L166" s="22">
        <f>(HDI_Data5[[#This Row],[EYSI]]+HDI_Data5[[#This Row],[MYSI]])/2</f>
        <v>0.62323333333333331</v>
      </c>
      <c r="M166" s="22">
        <f>( LN( HDI_Data5[[#This Row],[GNI per capita (USD)]] ) - LN(100) ) / ( LN(75000) - LN(100) )</f>
        <v>0.70251362611425017</v>
      </c>
      <c r="N166" s="23">
        <f>POWER((HDI_Data5[[#This Row],[Health Index]]*HDI_Data5[[#This Row],[Education Index]]*HDI_Data5[[#This Row],[Income Index]]), 1/3)</f>
        <v>0.69417067229169804</v>
      </c>
    </row>
    <row r="167" spans="1:14" x14ac:dyDescent="0.3">
      <c r="A167" s="15" t="s">
        <v>28</v>
      </c>
      <c r="B167" s="15">
        <v>2022</v>
      </c>
      <c r="C167" s="15" t="s">
        <v>15</v>
      </c>
      <c r="D167" s="15">
        <v>69.55</v>
      </c>
      <c r="E167" s="16">
        <v>12.61</v>
      </c>
      <c r="F167" s="16">
        <v>8.0250000000000004</v>
      </c>
      <c r="G167" s="25">
        <v>566195.94015153951</v>
      </c>
      <c r="H167" s="21">
        <f>G167/VLOOKUP(B167, exchange_rates6[], 2, FALSE)</f>
        <v>10392.730178993017</v>
      </c>
      <c r="I167" s="16">
        <f>HDI_Data5[[#This Row],[Expected Schooling ]]/18</f>
        <v>0.70055555555555549</v>
      </c>
      <c r="J167" s="16">
        <f>HDI_Data5[[#This Row],[Mean schooling ]]/15</f>
        <v>0.53500000000000003</v>
      </c>
      <c r="K167" s="22">
        <f>(HDI_Data5[[#This Row],[Life Expectancy ]]-20)/65</f>
        <v>0.76230769230769224</v>
      </c>
      <c r="L167" s="22">
        <f>(HDI_Data5[[#This Row],[EYSI]]+HDI_Data5[[#This Row],[MYSI]])/2</f>
        <v>0.61777777777777776</v>
      </c>
      <c r="M167" s="22">
        <f>( LN( HDI_Data5[[#This Row],[GNI per capita (USD)]] ) - LN(100) ) / ( LN(75000) - LN(100) )</f>
        <v>0.70145623599459184</v>
      </c>
      <c r="N167" s="23">
        <f>POWER((HDI_Data5[[#This Row],[Health Index]]*HDI_Data5[[#This Row],[Education Index]]*HDI_Data5[[#This Row],[Income Index]]), 1/3)</f>
        <v>0.69128063055021816</v>
      </c>
    </row>
    <row r="168" spans="1:14" x14ac:dyDescent="0.3">
      <c r="A168" s="15" t="s">
        <v>29</v>
      </c>
      <c r="B168" s="15">
        <v>2022</v>
      </c>
      <c r="C168" s="15" t="s">
        <v>15</v>
      </c>
      <c r="D168" s="15">
        <v>70.849999999999994</v>
      </c>
      <c r="E168" s="16">
        <v>12.54</v>
      </c>
      <c r="F168" s="16">
        <v>8.1630000000000003</v>
      </c>
      <c r="G168" s="25">
        <v>667100.16183392587</v>
      </c>
      <c r="H168" s="21">
        <f>G168/VLOOKUP(B168, exchange_rates6[], 2, FALSE)</f>
        <v>12244.863469785718</v>
      </c>
      <c r="I168" s="16">
        <f>HDI_Data5[[#This Row],[Expected Schooling ]]/18</f>
        <v>0.69666666666666666</v>
      </c>
      <c r="J168" s="16">
        <f>HDI_Data5[[#This Row],[Mean schooling ]]/15</f>
        <v>0.54420000000000002</v>
      </c>
      <c r="K168" s="22">
        <f>(HDI_Data5[[#This Row],[Life Expectancy ]]-20)/65</f>
        <v>0.78230769230769226</v>
      </c>
      <c r="L168" s="22">
        <f>(HDI_Data5[[#This Row],[EYSI]]+HDI_Data5[[#This Row],[MYSI]])/2</f>
        <v>0.62043333333333339</v>
      </c>
      <c r="M168" s="22">
        <f>( LN( HDI_Data5[[#This Row],[GNI per capita (USD)]] ) - LN(100) ) / ( LN(75000) - LN(100) )</f>
        <v>0.72622937594087256</v>
      </c>
      <c r="N168" s="23">
        <f>POWER((HDI_Data5[[#This Row],[Health Index]]*HDI_Data5[[#This Row],[Education Index]]*HDI_Data5[[#This Row],[Income Index]]), 1/3)</f>
        <v>0.70639699829965086</v>
      </c>
    </row>
    <row r="169" spans="1:14" x14ac:dyDescent="0.3">
      <c r="A169" s="15" t="s">
        <v>30</v>
      </c>
      <c r="B169" s="15">
        <v>2022</v>
      </c>
      <c r="C169" s="15" t="s">
        <v>15</v>
      </c>
      <c r="D169" s="15">
        <v>71.75</v>
      </c>
      <c r="E169" s="16">
        <v>12.24</v>
      </c>
      <c r="F169" s="16">
        <v>8.1809999999999992</v>
      </c>
      <c r="G169" s="25">
        <v>622622.37932408985</v>
      </c>
      <c r="H169" s="21">
        <f>G169/VLOOKUP(B169, exchange_rates6[], 2, FALSE)</f>
        <v>11428.457770265966</v>
      </c>
      <c r="I169" s="16">
        <f>HDI_Data5[[#This Row],[Expected Schooling ]]/18</f>
        <v>0.68</v>
      </c>
      <c r="J169" s="16">
        <f>HDI_Data5[[#This Row],[Mean schooling ]]/15</f>
        <v>0.5454</v>
      </c>
      <c r="K169" s="22">
        <f>(HDI_Data5[[#This Row],[Life Expectancy ]]-20)/65</f>
        <v>0.7961538461538461</v>
      </c>
      <c r="L169" s="22">
        <f>(HDI_Data5[[#This Row],[EYSI]]+HDI_Data5[[#This Row],[MYSI]])/2</f>
        <v>0.61270000000000002</v>
      </c>
      <c r="M169" s="22">
        <f>( LN( HDI_Data5[[#This Row],[GNI per capita (USD)]] ) - LN(100) ) / ( LN(75000) - LN(100) )</f>
        <v>0.71580653047566922</v>
      </c>
      <c r="N169" s="23">
        <f>POWER((HDI_Data5[[#This Row],[Health Index]]*HDI_Data5[[#This Row],[Education Index]]*HDI_Data5[[#This Row],[Income Index]]), 1/3)</f>
        <v>0.70417431181954993</v>
      </c>
    </row>
    <row r="170" spans="1:14" x14ac:dyDescent="0.3">
      <c r="A170" s="15" t="s">
        <v>31</v>
      </c>
      <c r="B170" s="15">
        <v>2022</v>
      </c>
      <c r="C170" s="15" t="s">
        <v>15</v>
      </c>
      <c r="D170" s="15">
        <v>69.2</v>
      </c>
      <c r="E170" s="16">
        <v>12.1</v>
      </c>
      <c r="F170" s="16">
        <v>7.73</v>
      </c>
      <c r="G170" s="25">
        <v>542908.17689413845</v>
      </c>
      <c r="H170" s="21">
        <f>G170/VLOOKUP(B170, exchange_rates6[], 2, FALSE)</f>
        <v>9965.2749062800758</v>
      </c>
      <c r="I170" s="16">
        <f>HDI_Data5[[#This Row],[Expected Schooling ]]/18</f>
        <v>0.67222222222222217</v>
      </c>
      <c r="J170" s="16">
        <f>HDI_Data5[[#This Row],[Mean schooling ]]/15</f>
        <v>0.51533333333333331</v>
      </c>
      <c r="K170" s="22">
        <f>(HDI_Data5[[#This Row],[Life Expectancy ]]-20)/65</f>
        <v>0.75692307692307692</v>
      </c>
      <c r="L170" s="22">
        <f>(HDI_Data5[[#This Row],[EYSI]]+HDI_Data5[[#This Row],[MYSI]])/2</f>
        <v>0.59377777777777774</v>
      </c>
      <c r="M170" s="22">
        <f>( LN( HDI_Data5[[#This Row],[GNI per capita (USD)]] ) - LN(100) ) / ( LN(75000) - LN(100) )</f>
        <v>0.69511189527664219</v>
      </c>
      <c r="N170" s="23">
        <f>POWER((HDI_Data5[[#This Row],[Health Index]]*HDI_Data5[[#This Row],[Education Index]]*HDI_Data5[[#This Row],[Income Index]]), 1/3)</f>
        <v>0.67854210576956064</v>
      </c>
    </row>
    <row r="171" spans="1:14" x14ac:dyDescent="0.3">
      <c r="A171" s="15" t="s">
        <v>32</v>
      </c>
      <c r="B171" s="15">
        <v>2022</v>
      </c>
      <c r="C171" s="15" t="s">
        <v>15</v>
      </c>
      <c r="D171" s="15">
        <v>71.53</v>
      </c>
      <c r="E171" s="16">
        <v>12.62</v>
      </c>
      <c r="F171" s="16">
        <v>8.0329999999999995</v>
      </c>
      <c r="G171" s="25">
        <v>612739.69357066171</v>
      </c>
      <c r="H171" s="21">
        <f>G171/VLOOKUP(B171, exchange_rates6[], 2, FALSE)</f>
        <v>11247.057517816846</v>
      </c>
      <c r="I171" s="16">
        <f>HDI_Data5[[#This Row],[Expected Schooling ]]/18</f>
        <v>0.70111111111111102</v>
      </c>
      <c r="J171" s="16">
        <f>HDI_Data5[[#This Row],[Mean schooling ]]/15</f>
        <v>0.53553333333333331</v>
      </c>
      <c r="K171" s="22">
        <f>(HDI_Data5[[#This Row],[Life Expectancy ]]-20)/65</f>
        <v>0.79276923076923078</v>
      </c>
      <c r="L171" s="22">
        <f>(HDI_Data5[[#This Row],[EYSI]]+HDI_Data5[[#This Row],[MYSI]])/2</f>
        <v>0.61832222222222222</v>
      </c>
      <c r="M171" s="22">
        <f>( LN( HDI_Data5[[#This Row],[GNI per capita (USD)]] ) - LN(100) ) / ( LN(75000) - LN(100) )</f>
        <v>0.71338963877359307</v>
      </c>
      <c r="N171" s="23">
        <f>POWER((HDI_Data5[[#This Row],[Health Index]]*HDI_Data5[[#This Row],[Education Index]]*HDI_Data5[[#This Row],[Income Index]]), 1/3)</f>
        <v>0.7045245741549393</v>
      </c>
    </row>
  </sheetData>
  <pageMargins left="0.7" right="0.7" top="0.75" bottom="0.75" header="0.3" footer="0.3"/>
  <pageSetup paperSize="9" orientation="portrait"/>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Requirements1</vt:lpstr>
      <vt:lpstr>Original data</vt:lpstr>
      <vt:lpstr>Dashboard</vt:lpstr>
      <vt:lpstr>Pivot Tables</vt:lpstr>
      <vt:lpstr>Data</vt:lpstr>
      <vt:lpstr>Data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iConley</dc:creator>
  <cp:lastModifiedBy>wooruis999@gmail.com</cp:lastModifiedBy>
  <cp:revision>1</cp:revision>
  <dcterms:created xsi:type="dcterms:W3CDTF">2025-10-14T12:29:29Z</dcterms:created>
  <dcterms:modified xsi:type="dcterms:W3CDTF">2025-10-23T22:31:50Z</dcterms:modified>
</cp:coreProperties>
</file>